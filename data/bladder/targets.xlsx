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napi/Repositories/tutorial_cancer_modeling_des/data/bladder/"/>
    </mc:Choice>
  </mc:AlternateContent>
  <xr:revisionPtr revIDLastSave="0" documentId="13_ncr:1_{60E8ADEF-477D-4244-995A-BD49CF75D96B}" xr6:coauthVersionLast="47" xr6:coauthVersionMax="47" xr10:uidLastSave="{00000000-0000-0000-0000-000000000000}"/>
  <bookViews>
    <workbookView xWindow="0" yWindow="760" windowWidth="30240" windowHeight="17780" xr2:uid="{A45334B4-46D3-3441-9F0C-EDD51E1C869C}"/>
  </bookViews>
  <sheets>
    <sheet name="targets" sheetId="1" r:id="rId1"/>
    <sheet name="boun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G5" i="1"/>
  <c r="F5" i="1"/>
  <c r="G25" i="1"/>
  <c r="F25" i="1"/>
  <c r="G24" i="1"/>
  <c r="F24" i="1"/>
  <c r="G23" i="1"/>
  <c r="F23" i="1"/>
  <c r="G4" i="1"/>
  <c r="F4" i="1"/>
  <c r="G3" i="1"/>
  <c r="F3" i="1"/>
  <c r="G2" i="1"/>
  <c r="F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22" i="1"/>
  <c r="F22" i="1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I24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H24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12" i="2"/>
  <c r="A11" i="2"/>
  <c r="A10" i="2"/>
  <c r="A9" i="2"/>
  <c r="A8" i="2"/>
  <c r="A7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H40" i="2"/>
  <c r="H39" i="2"/>
  <c r="H38" i="2"/>
  <c r="H37" i="2"/>
  <c r="H30" i="2"/>
  <c r="H29" i="2"/>
  <c r="H28" i="2"/>
  <c r="H27" i="2"/>
  <c r="H26" i="2"/>
  <c r="H25" i="2"/>
  <c r="G41" i="2"/>
  <c r="H41" i="2" s="1"/>
  <c r="G40" i="2"/>
  <c r="G39" i="2"/>
  <c r="G38" i="2"/>
  <c r="G37" i="2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G29" i="2"/>
  <c r="G28" i="2"/>
  <c r="G27" i="2"/>
  <c r="G26" i="2"/>
  <c r="G25" i="2"/>
  <c r="G24" i="2"/>
  <c r="F42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E22" i="1"/>
  <c r="A22" i="1" s="1"/>
  <c r="G12" i="2"/>
  <c r="G11" i="2"/>
  <c r="G10" i="2"/>
  <c r="H12" i="2"/>
  <c r="H11" i="2"/>
  <c r="H10" i="2"/>
  <c r="D21" i="1"/>
  <c r="E21" i="1" s="1"/>
  <c r="A21" i="1" s="1"/>
  <c r="D20" i="1"/>
  <c r="E20" i="1" s="1"/>
  <c r="A20" i="1" s="1"/>
  <c r="D19" i="1"/>
  <c r="E19" i="1" s="1"/>
  <c r="A19" i="1" s="1"/>
  <c r="D18" i="1"/>
  <c r="E18" i="1" s="1"/>
  <c r="A18" i="1" s="1"/>
  <c r="D17" i="1"/>
  <c r="E17" i="1" s="1"/>
  <c r="A17" i="1" s="1"/>
  <c r="D16" i="1"/>
  <c r="E16" i="1" s="1"/>
  <c r="A16" i="1" s="1"/>
  <c r="D15" i="1"/>
  <c r="E15" i="1" s="1"/>
  <c r="A15" i="1" s="1"/>
  <c r="D14" i="1"/>
  <c r="E14" i="1" s="1"/>
  <c r="A14" i="1" s="1"/>
  <c r="D13" i="1"/>
  <c r="E13" i="1" s="1"/>
  <c r="A13" i="1" s="1"/>
  <c r="D12" i="1"/>
  <c r="E12" i="1" s="1"/>
  <c r="A12" i="1" s="1"/>
  <c r="D11" i="1"/>
  <c r="E11" i="1" s="1"/>
  <c r="A11" i="1" s="1"/>
  <c r="D10" i="1"/>
  <c r="E10" i="1" s="1"/>
  <c r="A10" i="1" s="1"/>
  <c r="D9" i="1"/>
  <c r="E9" i="1" s="1"/>
  <c r="A9" i="1" s="1"/>
  <c r="D8" i="1"/>
  <c r="E8" i="1" s="1"/>
  <c r="A8" i="1" s="1"/>
  <c r="D7" i="1"/>
  <c r="E7" i="1" s="1"/>
  <c r="A7" i="1" s="1"/>
  <c r="D5" i="1"/>
  <c r="E5" i="1" s="1"/>
  <c r="A5" i="1" s="1"/>
  <c r="D6" i="1"/>
  <c r="E6" i="1" s="1"/>
  <c r="A6" i="1" s="1"/>
  <c r="I9" i="2"/>
  <c r="E9" i="2"/>
  <c r="A25" i="1"/>
  <c r="I25" i="1" s="1"/>
  <c r="A24" i="1"/>
  <c r="I24" i="1" s="1"/>
  <c r="A23" i="1"/>
  <c r="I23" i="1" s="1"/>
  <c r="I10" i="1" l="1"/>
  <c r="H42" i="2"/>
  <c r="L28" i="2" s="1"/>
  <c r="G42" i="2"/>
  <c r="G43" i="2" s="1"/>
  <c r="I12" i="2"/>
  <c r="I11" i="2"/>
  <c r="I10" i="2"/>
  <c r="I8" i="2"/>
  <c r="I7" i="2"/>
  <c r="E8" i="2"/>
  <c r="E7" i="2"/>
  <c r="B4" i="2"/>
  <c r="J8" i="2" s="1"/>
  <c r="E4" i="1"/>
  <c r="A4" i="1" s="1"/>
  <c r="I4" i="1" s="1"/>
  <c r="E3" i="1"/>
  <c r="A3" i="1" s="1"/>
  <c r="I3" i="1" s="1"/>
  <c r="E2" i="1"/>
  <c r="A2" i="1" s="1"/>
  <c r="I2" i="1" s="1"/>
  <c r="L24" i="2" l="1"/>
  <c r="L31" i="2"/>
  <c r="L33" i="2"/>
  <c r="L41" i="2"/>
  <c r="L39" i="2"/>
  <c r="L37" i="2"/>
  <c r="L35" i="2"/>
  <c r="H23" i="1"/>
  <c r="H25" i="1"/>
  <c r="J10" i="2"/>
  <c r="K10" i="2" s="1"/>
  <c r="J11" i="2"/>
  <c r="L11" i="2" s="1"/>
  <c r="J24" i="1" s="1"/>
  <c r="J9" i="2"/>
  <c r="K9" i="2" s="1"/>
  <c r="H24" i="1"/>
  <c r="H4" i="1"/>
  <c r="H3" i="1"/>
  <c r="H2" i="1"/>
  <c r="L10" i="2"/>
  <c r="J23" i="1" s="1"/>
  <c r="J12" i="2"/>
  <c r="L12" i="2" s="1"/>
  <c r="J25" i="1" s="1"/>
  <c r="K12" i="2"/>
  <c r="L8" i="2"/>
  <c r="J3" i="1" s="1"/>
  <c r="K8" i="2"/>
  <c r="J7" i="2"/>
  <c r="L9" i="2" l="1"/>
  <c r="J4" i="1" s="1"/>
  <c r="K11" i="2"/>
  <c r="K7" i="2"/>
  <c r="L7" i="2"/>
  <c r="J2" i="1" s="1"/>
</calcChain>
</file>

<file path=xl/sharedStrings.xml><?xml version="1.0" encoding="utf-8"?>
<sst xmlns="http://schemas.openxmlformats.org/spreadsheetml/2006/main" count="125" uniqueCount="37">
  <si>
    <t>target_names</t>
  </si>
  <si>
    <t>target_groups</t>
  </si>
  <si>
    <t>targets</t>
  </si>
  <si>
    <t>age_start</t>
  </si>
  <si>
    <t>age_end</t>
  </si>
  <si>
    <t>target_index</t>
  </si>
  <si>
    <t>source</t>
  </si>
  <si>
    <t>target_labels</t>
  </si>
  <si>
    <t>stage_distr</t>
  </si>
  <si>
    <t>ci_lb</t>
  </si>
  <si>
    <t>ci_ub</t>
  </si>
  <si>
    <t>n_total</t>
  </si>
  <si>
    <t>n_cases</t>
  </si>
  <si>
    <t>Alpha</t>
  </si>
  <si>
    <t>zcrit</t>
  </si>
  <si>
    <t>Source: https://real-statistics.com/binomial-and-related-distributions/proportion-distribution/proportion-parameter-confidence-interval/</t>
  </si>
  <si>
    <t>u</t>
  </si>
  <si>
    <t>Calculations for Wilson score confidence intervals for binomial proportion</t>
  </si>
  <si>
    <t>prevalence_preclin</t>
  </si>
  <si>
    <t>incidence_clin</t>
  </si>
  <si>
    <t>Suen et al. 1970</t>
  </si>
  <si>
    <t>SEER Cancer Statistics Review 1973-1994</t>
  </si>
  <si>
    <t>Annual population in SEER registry averaged over 1989-93</t>
  </si>
  <si>
    <t>SEER statistics</t>
  </si>
  <si>
    <t>US standard million population, 1970</t>
  </si>
  <si>
    <t>bladder cancer incidence rates (invasive and in situ) per 100,000</t>
  </si>
  <si>
    <t>Source: https://seer.cancer.gov/archive/csr/1973_1993/appendix.pdf and https://seer.cancer.gov/archive/csr/1973_1993/bladder.pdf</t>
  </si>
  <si>
    <t>year_start</t>
  </si>
  <si>
    <t>year_end</t>
  </si>
  <si>
    <t>rate_unit</t>
  </si>
  <si>
    <t>Total</t>
  </si>
  <si>
    <t>SEER registry total scaled by US standard population</t>
  </si>
  <si>
    <t>proportion of cases</t>
  </si>
  <si>
    <t>total bladder cases in SEER registry 1989-93</t>
  </si>
  <si>
    <t>Divided by years</t>
  </si>
  <si>
    <t>n_cases_lb</t>
  </si>
  <si>
    <t>n_cases_ub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</si>
</sst>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Aptos Narrow"/>
      <family val="2"/>
      <scheme val="minor"/>
    </font>
    <font>
      <sz val="8"/>
      <color rgb="FF000000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0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C086-A524-D44D-8D0D-4CA59B33056E}">
  <dimension ref="A1:K25"/>
  <sheetViews>
    <sheetView tabSelected="1" workbookViewId="0">
      <selection activeCell="C5" sqref="C5"/>
    </sheetView>
  </sheetViews>
  <sheetFormatPr baseColWidth="10" defaultRowHeight="16"/>
  <cols>
    <col min="1" max="1" width="25.33203125" style="1" customWidth="1"/>
    <col min="2" max="2" width="16.5" style="1" customWidth="1"/>
    <col min="3" max="16384" width="10.83203125" style="1"/>
  </cols>
  <sheetData>
    <row r="1" spans="1:11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12</v>
      </c>
      <c r="G1" s="2" t="s">
        <v>11</v>
      </c>
      <c r="H1" s="2" t="s">
        <v>2</v>
      </c>
      <c r="I1" s="2" t="s">
        <v>9</v>
      </c>
      <c r="J1" s="2" t="s">
        <v>10</v>
      </c>
      <c r="K1" s="2" t="s">
        <v>6</v>
      </c>
    </row>
    <row r="2" spans="1:11">
      <c r="A2" s="1" t="str">
        <f t="shared" ref="A2:A25" si="0">""&amp;B2&amp;"_"&amp;E2</f>
        <v>prevalence_preclin_71</v>
      </c>
      <c r="B2" s="2" t="s">
        <v>18</v>
      </c>
      <c r="C2" s="2">
        <v>66</v>
      </c>
      <c r="D2" s="2">
        <v>76</v>
      </c>
      <c r="E2" s="1">
        <f t="shared" ref="E2:E22" si="1">FLOOR(AVERAGE(C2,D2), 1)</f>
        <v>71</v>
      </c>
      <c r="F2" s="2">
        <f>INDEX(bounds!$A$6:$L$1048576,MATCH(targets!$A2,bounds!$A$6:$A$1048576,0), MATCH(F$1,bounds!$6:$6,0))</f>
        <v>1</v>
      </c>
      <c r="G2" s="2">
        <f>INDEX(bounds!$A$6:$L$1048576,MATCH(targets!$A2,bounds!$A$6:$A$1048576,0), MATCH(G$1,bounds!$6:$6,0))</f>
        <v>1810</v>
      </c>
      <c r="H2" s="2">
        <f>INDEX(bounds!$A$6:$L$1048576,MATCH(targets!$A2,bounds!$A$6:$A$1048576,0), MATCH(H$1,bounds!$6:$6,0))</f>
        <v>5.5248618784530391E-4</v>
      </c>
      <c r="I2" s="2">
        <f>INDEX(bounds!$A$6:$L$1048576,MATCH(targets!$A2,bounds!$A$6:$A$1048576,0), MATCH(I$1,bounds!$6:$6,0))</f>
        <v>9.7534036711855159E-5</v>
      </c>
      <c r="J2" s="2">
        <f>INDEX(bounds!$A$6:$L$1048576,MATCH(targets!$A2,bounds!$A$6:$A$1048576,0), MATCH(J$1,bounds!$6:$6,0))</f>
        <v>3.1229562615372915E-3</v>
      </c>
      <c r="K2" s="1" t="s">
        <v>20</v>
      </c>
    </row>
    <row r="3" spans="1:11">
      <c r="A3" s="1" t="str">
        <f t="shared" si="0"/>
        <v>prevalence_preclin_80</v>
      </c>
      <c r="B3" s="2" t="s">
        <v>18</v>
      </c>
      <c r="C3" s="2">
        <v>76</v>
      </c>
      <c r="D3" s="2">
        <v>85</v>
      </c>
      <c r="E3" s="1">
        <f t="shared" si="1"/>
        <v>80</v>
      </c>
      <c r="F3" s="2">
        <f>INDEX(bounds!$A$6:$L$1048576,MATCH(targets!$A3,bounds!$A$6:$A$1048576,0), MATCH(F$1,bounds!$6:$6,0))</f>
        <v>2</v>
      </c>
      <c r="G3" s="2">
        <f>INDEX(bounds!$A$6:$L$1048576,MATCH(targets!$A3,bounds!$A$6:$A$1048576,0), MATCH(G$1,bounds!$6:$6,0))</f>
        <v>1307</v>
      </c>
      <c r="H3" s="2">
        <f>INDEX(bounds!$A$6:$L$1048576,MATCH(targets!$A3,bounds!$A$6:$A$1048576,0), MATCH(H$1,bounds!$6:$6,0))</f>
        <v>1.530221882172915E-3</v>
      </c>
      <c r="I3" s="2">
        <f>INDEX(bounds!$A$6:$L$1048576,MATCH(targets!$A3,bounds!$A$6:$A$1048576,0), MATCH(I$1,bounds!$6:$6,0))</f>
        <v>4.1974238437163421E-4</v>
      </c>
      <c r="J3" s="2">
        <f>INDEX(bounds!$A$6:$L$1048576,MATCH(targets!$A3,bounds!$A$6:$A$1048576,0), MATCH(J$1,bounds!$6:$6,0))</f>
        <v>5.562261593248006E-3</v>
      </c>
      <c r="K3" s="1" t="s">
        <v>20</v>
      </c>
    </row>
    <row r="4" spans="1:11">
      <c r="A4" s="1" t="str">
        <f t="shared" si="0"/>
        <v>prevalence_preclin_90</v>
      </c>
      <c r="B4" s="2" t="s">
        <v>18</v>
      </c>
      <c r="C4" s="2">
        <v>85</v>
      </c>
      <c r="D4" s="2">
        <v>95</v>
      </c>
      <c r="E4" s="1">
        <f t="shared" si="1"/>
        <v>90</v>
      </c>
      <c r="F4" s="2">
        <f>INDEX(bounds!$A$6:$L$1048576,MATCH(targets!$A4,bounds!$A$6:$A$1048576,0), MATCH(F$1,bounds!$6:$6,0))</f>
        <v>5</v>
      </c>
      <c r="G4" s="2">
        <f>INDEX(bounds!$A$6:$L$1048576,MATCH(targets!$A4,bounds!$A$6:$A$1048576,0), MATCH(G$1,bounds!$6:$6,0))</f>
        <v>418</v>
      </c>
      <c r="H4" s="2">
        <f>INDEX(bounds!$A$6:$L$1048576,MATCH(targets!$A4,bounds!$A$6:$A$1048576,0), MATCH(H$1,bounds!$6:$6,0))</f>
        <v>1.1961722488038277E-2</v>
      </c>
      <c r="I4" s="2">
        <f>INDEX(bounds!$A$6:$L$1048576,MATCH(targets!$A4,bounds!$A$6:$A$1048576,0), MATCH(I$1,bounds!$6:$6,0))</f>
        <v>5.1198596930172122E-3</v>
      </c>
      <c r="J4" s="2">
        <f>INDEX(bounds!$A$6:$L$1048576,MATCH(targets!$A4,bounds!$A$6:$A$1048576,0), MATCH(J$1,bounds!$6:$6,0))</f>
        <v>2.7692132896306509E-2</v>
      </c>
      <c r="K4" s="1" t="s">
        <v>20</v>
      </c>
    </row>
    <row r="5" spans="1:11">
      <c r="A5" s="1" t="str">
        <f t="shared" ref="A5:A10" si="2">""&amp;B5&amp;"_"&amp;E5</f>
        <v>incidence_clin_2</v>
      </c>
      <c r="B5" s="1" t="s">
        <v>19</v>
      </c>
      <c r="C5" s="1">
        <v>0</v>
      </c>
      <c r="D5" s="1">
        <f t="shared" ref="D5" si="3">C6</f>
        <v>5</v>
      </c>
      <c r="E5" s="1">
        <f t="shared" si="1"/>
        <v>2</v>
      </c>
      <c r="F5" s="2">
        <f>INDEX(bounds!$23:$41,MATCH(targets!$A5,bounds!$A$23:$A$41,0), MATCH(F$1,bounds!$23:$23,0))</f>
        <v>10.087170893440002</v>
      </c>
      <c r="G5" s="2">
        <f>INDEX(bounds!$23:$41,MATCH(targets!$A5,bounds!$A$23:$A$41,0), MATCH(G$1,bounds!$23:$23,0))</f>
        <v>10087170.893440001</v>
      </c>
      <c r="H5" s="2">
        <f>INDEX(bounds!$23:$41,MATCH(targets!$A5,bounds!$A$23:$A$41,0), MATCH(H$1,bounds!$23:$23,0))</f>
        <v>0.1</v>
      </c>
      <c r="I5" s="2">
        <f>INDEX(bounds!$23:$41,MATCH(targets!$A5,bounds!$A$23:$A$41,0), MATCH(I$1,bounds!$23:$23,0))</f>
        <v>1.6094566130273689E-2</v>
      </c>
      <c r="J5" s="2">
        <f>INDEX(bounds!$23:$41,MATCH(targets!$A5,bounds!$A$23:$A$41,0), MATCH(J$1,bounds!$23:$23,0))</f>
        <v>0.24526419878119815</v>
      </c>
      <c r="K5" s="1" t="s">
        <v>21</v>
      </c>
    </row>
    <row r="6" spans="1:11">
      <c r="A6" s="1" t="str">
        <f t="shared" si="2"/>
        <v>incidence_clin_7</v>
      </c>
      <c r="B6" s="1" t="s">
        <v>19</v>
      </c>
      <c r="C6" s="1">
        <v>5</v>
      </c>
      <c r="D6" s="1">
        <f>C7</f>
        <v>10</v>
      </c>
      <c r="E6" s="1">
        <f t="shared" si="1"/>
        <v>7</v>
      </c>
      <c r="F6" s="2">
        <f>INDEX(bounds!$23:$41,MATCH(targets!$A6,bounds!$A$23:$A$41,0), MATCH(F$1,bounds!$23:$23,0))</f>
        <v>11.734748512359999</v>
      </c>
      <c r="G6" s="2">
        <f>INDEX(bounds!$23:$41,MATCH(targets!$A6,bounds!$A$23:$A$41,0), MATCH(G$1,bounds!$23:$23,0))</f>
        <v>11734748.512359999</v>
      </c>
      <c r="H6" s="2">
        <f>INDEX(bounds!$23:$41,MATCH(targets!$A6,bounds!$A$23:$A$41,0), MATCH(H$1,bounds!$23:$23,0))</f>
        <v>0.1</v>
      </c>
      <c r="I6" s="2">
        <f>INDEX(bounds!$23:$41,MATCH(targets!$A6,bounds!$A$23:$A$41,0), MATCH(I$1,bounds!$23:$23,0))</f>
        <v>1.6258329900368296E-2</v>
      </c>
      <c r="J6" s="2">
        <f>INDEX(bounds!$23:$41,MATCH(targets!$A6,bounds!$A$23:$A$41,0), MATCH(J$1,bounds!$23:$23,0))</f>
        <v>0.23719286870795328</v>
      </c>
      <c r="K6" s="1" t="s">
        <v>21</v>
      </c>
    </row>
    <row r="7" spans="1:11">
      <c r="A7" s="1" t="str">
        <f t="shared" si="2"/>
        <v>incidence_clin_12</v>
      </c>
      <c r="B7" s="1" t="s">
        <v>19</v>
      </c>
      <c r="C7" s="1">
        <v>10</v>
      </c>
      <c r="D7" s="1">
        <f t="shared" ref="D7:D21" si="4">C8</f>
        <v>15</v>
      </c>
      <c r="E7" s="1">
        <f t="shared" si="1"/>
        <v>12</v>
      </c>
      <c r="F7" s="2">
        <f>INDEX(bounds!$23:$41,MATCH(targets!$A7,bounds!$A$23:$A$41,0), MATCH(F$1,bounds!$23:$23,0))</f>
        <v>0</v>
      </c>
      <c r="G7" s="2">
        <f>INDEX(bounds!$23:$41,MATCH(targets!$A7,bounds!$A$23:$A$41,0), MATCH(G$1,bounds!$23:$23,0))</f>
        <v>12224672.231360001</v>
      </c>
      <c r="H7" s="2">
        <f>INDEX(bounds!$23:$41,MATCH(targets!$A7,bounds!$A$23:$A$41,0), MATCH(H$1,bounds!$23:$23,0))</f>
        <v>0</v>
      </c>
      <c r="I7" s="2">
        <f>INDEX(bounds!$23:$41,MATCH(targets!$A7,bounds!$A$23:$A$41,0), MATCH(I$1,bounds!$23:$23,0))</f>
        <v>0</v>
      </c>
      <c r="J7" s="2">
        <f>INDEX(bounds!$23:$41,MATCH(targets!$A7,bounds!$A$23:$A$41,0), MATCH(J$1,bounds!$23:$23,0))</f>
        <v>0.10682882759847878</v>
      </c>
      <c r="K7" s="1" t="s">
        <v>21</v>
      </c>
    </row>
    <row r="8" spans="1:11">
      <c r="A8" s="1" t="str">
        <f t="shared" si="2"/>
        <v>incidence_clin_17</v>
      </c>
      <c r="B8" s="1" t="s">
        <v>19</v>
      </c>
      <c r="C8" s="1">
        <v>15</v>
      </c>
      <c r="D8" s="1">
        <f t="shared" si="4"/>
        <v>20</v>
      </c>
      <c r="E8" s="1">
        <f t="shared" si="1"/>
        <v>17</v>
      </c>
      <c r="F8" s="2">
        <f>INDEX(bounds!$23:$41,MATCH(targets!$A8,bounds!$A$23:$A$41,0), MATCH(F$1,bounds!$23:$23,0))</f>
        <v>11.213875953550001</v>
      </c>
      <c r="G8" s="2">
        <f>INDEX(bounds!$23:$41,MATCH(targets!$A8,bounds!$A$23:$A$41,0), MATCH(G$1,bounds!$23:$23,0))</f>
        <v>11213875.95355</v>
      </c>
      <c r="H8" s="2">
        <f>INDEX(bounds!$23:$41,MATCH(targets!$A8,bounds!$A$23:$A$41,0), MATCH(H$1,bounds!$23:$23,0))</f>
        <v>0.1</v>
      </c>
      <c r="I8" s="2">
        <f>INDEX(bounds!$23:$41,MATCH(targets!$A8,bounds!$A$23:$A$41,0), MATCH(I$1,bounds!$23:$23,0))</f>
        <v>1.7013511956265843E-2</v>
      </c>
      <c r="J8" s="2">
        <f>INDEX(bounds!$23:$41,MATCH(targets!$A8,bounds!$A$23:$A$41,0), MATCH(J$1,bounds!$23:$23,0))</f>
        <v>0.23722104989583823</v>
      </c>
      <c r="K8" s="1" t="s">
        <v>21</v>
      </c>
    </row>
    <row r="9" spans="1:11">
      <c r="A9" s="1" t="str">
        <f t="shared" si="2"/>
        <v>incidence_clin_22</v>
      </c>
      <c r="B9" s="1" t="s">
        <v>19</v>
      </c>
      <c r="C9" s="1">
        <v>20</v>
      </c>
      <c r="D9" s="1">
        <f t="shared" si="4"/>
        <v>25</v>
      </c>
      <c r="E9" s="1">
        <f t="shared" si="1"/>
        <v>22</v>
      </c>
      <c r="F9" s="2">
        <f>INDEX(bounds!$23:$41,MATCH(targets!$A9,bounds!$A$23:$A$41,0), MATCH(F$1,bounds!$23:$23,0))</f>
        <v>28.879569311969998</v>
      </c>
      <c r="G9" s="2">
        <f>INDEX(bounds!$23:$41,MATCH(targets!$A9,bounds!$A$23:$A$41,0), MATCH(G$1,bounds!$23:$23,0))</f>
        <v>9626523.1039899997</v>
      </c>
      <c r="H9" s="2">
        <f>INDEX(bounds!$23:$41,MATCH(targets!$A9,bounds!$A$23:$A$41,0), MATCH(H$1,bounds!$23:$23,0))</f>
        <v>0.3</v>
      </c>
      <c r="I9" s="2">
        <f>INDEX(bounds!$23:$41,MATCH(targets!$A9,bounds!$A$23:$A$41,0), MATCH(I$1,bounds!$23:$23,0))</f>
        <v>0.1597383882900868</v>
      </c>
      <c r="J9" s="2">
        <f>INDEX(bounds!$23:$41,MATCH(targets!$A9,bounds!$A$23:$A$41,0), MATCH(J$1,bounds!$23:$23,0))</f>
        <v>0.4874889418786299</v>
      </c>
      <c r="K9" s="1" t="s">
        <v>21</v>
      </c>
    </row>
    <row r="10" spans="1:11">
      <c r="A10" s="1" t="str">
        <f t="shared" si="2"/>
        <v>incidence_clin_27</v>
      </c>
      <c r="B10" s="1" t="s">
        <v>19</v>
      </c>
      <c r="C10" s="1">
        <v>25</v>
      </c>
      <c r="D10" s="1">
        <f t="shared" si="4"/>
        <v>30</v>
      </c>
      <c r="E10" s="1">
        <f t="shared" si="1"/>
        <v>27</v>
      </c>
      <c r="F10" s="2">
        <f>INDEX(bounds!$23:$41,MATCH(targets!$A10,bounds!$A$23:$A$41,0), MATCH(F$1,bounds!$23:$23,0))</f>
        <v>39.624074444000001</v>
      </c>
      <c r="G10" s="2">
        <f>INDEX(bounds!$23:$41,MATCH(targets!$A10,bounds!$A$23:$A$41,0), MATCH(G$1,bounds!$23:$23,0))</f>
        <v>7924814.8888000008</v>
      </c>
      <c r="H10" s="2">
        <f>INDEX(bounds!$23:$41,MATCH(targets!$A10,bounds!$A$23:$A$41,0), MATCH(H$1,bounds!$23:$23,0))</f>
        <v>0.5</v>
      </c>
      <c r="I10" s="2">
        <f>INDEX(bounds!$23:$41,MATCH(targets!$A10,bounds!$A$23:$A$41,0), MATCH(I$1,bounds!$23:$23,0))</f>
        <v>0.31289158139055295</v>
      </c>
      <c r="J10" s="2">
        <f>INDEX(bounds!$23:$41,MATCH(targets!$A10,bounds!$A$23:$A$41,0), MATCH(J$1,bounds!$23:$23,0))</f>
        <v>0.73811868911234746</v>
      </c>
      <c r="K10" s="1" t="s">
        <v>21</v>
      </c>
    </row>
    <row r="11" spans="1:11">
      <c r="A11" s="1" t="str">
        <f t="shared" ref="A11:A22" si="5">""&amp;B11&amp;"_"&amp;E11</f>
        <v>incidence_clin_32</v>
      </c>
      <c r="B11" s="1" t="s">
        <v>19</v>
      </c>
      <c r="C11" s="1">
        <v>30</v>
      </c>
      <c r="D11" s="1">
        <f t="shared" si="4"/>
        <v>35</v>
      </c>
      <c r="E11" s="1">
        <f t="shared" si="1"/>
        <v>32</v>
      </c>
      <c r="F11" s="2">
        <f>INDEX(bounds!$23:$41,MATCH(targets!$A11,bounds!$A$23:$A$41,0), MATCH(F$1,bounds!$23:$23,0))</f>
        <v>73.935344383010005</v>
      </c>
      <c r="G11" s="2">
        <f>INDEX(bounds!$23:$41,MATCH(targets!$A11,bounds!$A$23:$A$41,0), MATCH(G$1,bounds!$23:$23,0))</f>
        <v>6721394.9439099999</v>
      </c>
      <c r="H11" s="2">
        <f>INDEX(bounds!$23:$41,MATCH(targets!$A11,bounds!$A$23:$A$41,0), MATCH(H$1,bounds!$23:$23,0))</f>
        <v>1.1000000000000001</v>
      </c>
      <c r="I11" s="2">
        <f>INDEX(bounds!$23:$41,MATCH(targets!$A11,bounds!$A$23:$A$41,0), MATCH(I$1,bounds!$23:$23,0))</f>
        <v>0.8184299276747744</v>
      </c>
      <c r="J11" s="2">
        <f>INDEX(bounds!$23:$41,MATCH(targets!$A11,bounds!$A$23:$A$41,0), MATCH(J$1,bounds!$23:$23,0))</f>
        <v>1.4317978530233426</v>
      </c>
      <c r="K11" s="1" t="s">
        <v>21</v>
      </c>
    </row>
    <row r="12" spans="1:11">
      <c r="A12" s="1" t="str">
        <f t="shared" si="5"/>
        <v>incidence_clin_37</v>
      </c>
      <c r="B12" s="1" t="s">
        <v>19</v>
      </c>
      <c r="C12" s="1">
        <v>35</v>
      </c>
      <c r="D12" s="1">
        <f t="shared" si="4"/>
        <v>40</v>
      </c>
      <c r="E12" s="1">
        <f t="shared" si="1"/>
        <v>37</v>
      </c>
      <c r="F12" s="2">
        <f>INDEX(bounds!$23:$41,MATCH(targets!$A12,bounds!$A$23:$A$41,0), MATCH(F$1,bounds!$23:$23,0))</f>
        <v>143.68291641088004</v>
      </c>
      <c r="G12" s="2">
        <f>INDEX(bounds!$23:$41,MATCH(targets!$A12,bounds!$A$23:$A$41,0), MATCH(G$1,bounds!$23:$23,0))</f>
        <v>6531041.6550400006</v>
      </c>
      <c r="H12" s="2">
        <f>INDEX(bounds!$23:$41,MATCH(targets!$A12,bounds!$A$23:$A$41,0), MATCH(H$1,bounds!$23:$23,0))</f>
        <v>2.2000000000000002</v>
      </c>
      <c r="I12" s="2">
        <f>INDEX(bounds!$23:$41,MATCH(targets!$A12,bounds!$A$23:$A$41,0), MATCH(I$1,bounds!$23:$23,0))</f>
        <v>1.8032433025804822</v>
      </c>
      <c r="J12" s="2">
        <f>INDEX(bounds!$23:$41,MATCH(targets!$A12,bounds!$A$23:$A$41,0), MATCH(J$1,bounds!$23:$23,0))</f>
        <v>2.6371938700704867</v>
      </c>
      <c r="K12" s="1" t="s">
        <v>21</v>
      </c>
    </row>
    <row r="13" spans="1:11">
      <c r="A13" s="1" t="str">
        <f t="shared" si="5"/>
        <v>incidence_clin_42</v>
      </c>
      <c r="B13" s="1" t="s">
        <v>19</v>
      </c>
      <c r="C13" s="1">
        <v>40</v>
      </c>
      <c r="D13" s="1">
        <f t="shared" si="4"/>
        <v>45</v>
      </c>
      <c r="E13" s="1">
        <f t="shared" si="1"/>
        <v>42</v>
      </c>
      <c r="F13" s="2">
        <f>INDEX(bounds!$23:$41,MATCH(targets!$A13,bounds!$A$23:$A$41,0), MATCH(F$1,bounds!$23:$23,0))</f>
        <v>302.93943240646001</v>
      </c>
      <c r="G13" s="2">
        <f>INDEX(bounds!$23:$41,MATCH(targets!$A13,bounds!$A$23:$A$41,0), MATCH(G$1,bounds!$23:$23,0))</f>
        <v>7045103.0792200007</v>
      </c>
      <c r="H13" s="2">
        <f>INDEX(bounds!$23:$41,MATCH(targets!$A13,bounds!$A$23:$A$41,0), MATCH(H$1,bounds!$23:$23,0))</f>
        <v>4.3</v>
      </c>
      <c r="I13" s="2">
        <f>INDEX(bounds!$23:$41,MATCH(targets!$A13,bounds!$A$23:$A$41,0), MATCH(I$1,bounds!$23:$23,0))</f>
        <v>3.7766078728748678</v>
      </c>
      <c r="J13" s="2">
        <f>INDEX(bounds!$23:$41,MATCH(targets!$A13,bounds!$A$23:$A$41,0), MATCH(J$1,bounds!$23:$23,0))</f>
        <v>4.8583883346410159</v>
      </c>
      <c r="K13" s="1" t="s">
        <v>21</v>
      </c>
    </row>
    <row r="14" spans="1:11">
      <c r="A14" s="1" t="str">
        <f t="shared" si="5"/>
        <v>incidence_clin_47</v>
      </c>
      <c r="B14" s="1" t="s">
        <v>19</v>
      </c>
      <c r="C14" s="1">
        <v>45</v>
      </c>
      <c r="D14" s="1">
        <f t="shared" si="4"/>
        <v>50</v>
      </c>
      <c r="E14" s="1">
        <f t="shared" si="1"/>
        <v>47</v>
      </c>
      <c r="F14" s="2">
        <f>INDEX(bounds!$23:$41,MATCH(targets!$A14,bounds!$A$23:$A$41,0), MATCH(F$1,bounds!$23:$23,0))</f>
        <v>676.82244818309994</v>
      </c>
      <c r="G14" s="2">
        <f>INDEX(bounds!$23:$41,MATCH(targets!$A14,bounds!$A$23:$A$41,0), MATCH(G$1,bounds!$23:$23,0))</f>
        <v>7124446.8229799997</v>
      </c>
      <c r="H14" s="2">
        <f>INDEX(bounds!$23:$41,MATCH(targets!$A14,bounds!$A$23:$A$41,0), MATCH(H$1,bounds!$23:$23,0))</f>
        <v>9.5</v>
      </c>
      <c r="I14" s="2">
        <f>INDEX(bounds!$23:$41,MATCH(targets!$A14,bounds!$A$23:$A$41,0), MATCH(I$1,bounds!$23:$23,0))</f>
        <v>8.7460518806358838</v>
      </c>
      <c r="J14" s="2">
        <f>INDEX(bounds!$23:$41,MATCH(targets!$A14,bounds!$A$23:$A$41,0), MATCH(J$1,bounds!$23:$23,0))</f>
        <v>10.289748213803048</v>
      </c>
      <c r="K14" s="1" t="s">
        <v>21</v>
      </c>
    </row>
    <row r="15" spans="1:11">
      <c r="A15" s="1" t="str">
        <f t="shared" si="5"/>
        <v>incidence_clin_52</v>
      </c>
      <c r="B15" s="1" t="s">
        <v>19</v>
      </c>
      <c r="C15" s="1">
        <v>50</v>
      </c>
      <c r="D15" s="1">
        <f t="shared" si="4"/>
        <v>55</v>
      </c>
      <c r="E15" s="1">
        <f t="shared" si="1"/>
        <v>52</v>
      </c>
      <c r="F15" s="2">
        <f>INDEX(bounds!$23:$41,MATCH(targets!$A15,bounds!$A$23:$A$41,0), MATCH(F$1,bounds!$23:$23,0))</f>
        <v>1207.9553240984499</v>
      </c>
      <c r="G15" s="2">
        <f>INDEX(bounds!$23:$41,MATCH(targets!$A15,bounds!$A$23:$A$41,0), MATCH(G$1,bounds!$23:$23,0))</f>
        <v>6529488.2383699995</v>
      </c>
      <c r="H15" s="2">
        <f>INDEX(bounds!$23:$41,MATCH(targets!$A15,bounds!$A$23:$A$41,0), MATCH(H$1,bounds!$23:$23,0))</f>
        <v>18.5</v>
      </c>
      <c r="I15" s="2">
        <f>INDEX(bounds!$23:$41,MATCH(targets!$A15,bounds!$A$23:$A$41,0), MATCH(I$1,bounds!$23:$23,0))</f>
        <v>17.419890817649691</v>
      </c>
      <c r="J15" s="2">
        <f>INDEX(bounds!$23:$41,MATCH(targets!$A15,bounds!$A$23:$A$41,0), MATCH(J$1,bounds!$23:$23,0))</f>
        <v>19.621383584718842</v>
      </c>
      <c r="K15" s="1" t="s">
        <v>21</v>
      </c>
    </row>
    <row r="16" spans="1:11">
      <c r="A16" s="1" t="str">
        <f t="shared" si="5"/>
        <v>incidence_clin_57</v>
      </c>
      <c r="B16" s="1" t="s">
        <v>19</v>
      </c>
      <c r="C16" s="1">
        <v>55</v>
      </c>
      <c r="D16" s="1">
        <f t="shared" si="4"/>
        <v>60</v>
      </c>
      <c r="E16" s="1">
        <f t="shared" si="1"/>
        <v>57</v>
      </c>
      <c r="F16" s="2">
        <f>INDEX(bounds!$23:$41,MATCH(targets!$A16,bounds!$A$23:$A$41,0), MATCH(F$1,bounds!$23:$23,0))</f>
        <v>2011.48471233549</v>
      </c>
      <c r="G16" s="2">
        <f>INDEX(bounds!$23:$41,MATCH(targets!$A16,bounds!$A$23:$A$41,0), MATCH(G$1,bounds!$23:$23,0))</f>
        <v>5864386.9164300002</v>
      </c>
      <c r="H16" s="2">
        <f>INDEX(bounds!$23:$41,MATCH(targets!$A16,bounds!$A$23:$A$41,0), MATCH(H$1,bounds!$23:$23,0))</f>
        <v>34.299999999999997</v>
      </c>
      <c r="I16" s="2">
        <f>INDEX(bounds!$23:$41,MATCH(targets!$A16,bounds!$A$23:$A$41,0), MATCH(I$1,bounds!$23:$23,0))</f>
        <v>32.767494120937265</v>
      </c>
      <c r="J16" s="2">
        <f>INDEX(bounds!$23:$41,MATCH(targets!$A16,bounds!$A$23:$A$41,0), MATCH(J$1,bounds!$23:$23,0))</f>
        <v>35.876275809580278</v>
      </c>
      <c r="K16" s="1" t="s">
        <v>21</v>
      </c>
    </row>
    <row r="17" spans="1:11">
      <c r="A17" s="1" t="str">
        <f t="shared" si="5"/>
        <v>incidence_clin_62</v>
      </c>
      <c r="B17" s="1" t="s">
        <v>19</v>
      </c>
      <c r="C17" s="1">
        <v>60</v>
      </c>
      <c r="D17" s="1">
        <f t="shared" si="4"/>
        <v>65</v>
      </c>
      <c r="E17" s="1">
        <f t="shared" si="1"/>
        <v>62</v>
      </c>
      <c r="F17" s="2">
        <f>INDEX(bounds!$23:$41,MATCH(targets!$A17,bounds!$A$23:$A$41,0), MATCH(F$1,bounds!$23:$23,0))</f>
        <v>2680.3830625913301</v>
      </c>
      <c r="G17" s="2">
        <f>INDEX(bounds!$23:$41,MATCH(targets!$A17,bounds!$A$23:$A$41,0), MATCH(G$1,bounds!$23:$23,0))</f>
        <v>5066886.6967700003</v>
      </c>
      <c r="H17" s="2">
        <f>INDEX(bounds!$23:$41,MATCH(targets!$A17,bounds!$A$23:$A$41,0), MATCH(H$1,bounds!$23:$23,0))</f>
        <v>52.9</v>
      </c>
      <c r="I17" s="2">
        <f>INDEX(bounds!$23:$41,MATCH(targets!$A17,bounds!$A$23:$A$41,0), MATCH(I$1,bounds!$23:$23,0))</f>
        <v>50.860284058021669</v>
      </c>
      <c r="J17" s="2">
        <f>INDEX(bounds!$23:$41,MATCH(targets!$A17,bounds!$A$23:$A$41,0), MATCH(J$1,bounds!$23:$23,0))</f>
        <v>54.983958159669321</v>
      </c>
      <c r="K17" s="1" t="s">
        <v>21</v>
      </c>
    </row>
    <row r="18" spans="1:11">
      <c r="A18" s="1" t="str">
        <f t="shared" si="5"/>
        <v>incidence_clin_67</v>
      </c>
      <c r="B18" s="1" t="s">
        <v>19</v>
      </c>
      <c r="C18" s="1">
        <v>65</v>
      </c>
      <c r="D18" s="1">
        <f t="shared" si="4"/>
        <v>70</v>
      </c>
      <c r="E18" s="1">
        <f t="shared" si="1"/>
        <v>67</v>
      </c>
      <c r="F18" s="2">
        <f>INDEX(bounds!$23:$41,MATCH(targets!$A18,bounds!$A$23:$A$41,0), MATCH(F$1,bounds!$23:$23,0))</f>
        <v>3404.15346684312</v>
      </c>
      <c r="G18" s="2">
        <f>INDEX(bounds!$23:$41,MATCH(targets!$A18,bounds!$A$23:$A$41,0), MATCH(G$1,bounds!$23:$23,0))</f>
        <v>4111296.4575399999</v>
      </c>
      <c r="H18" s="2">
        <f>INDEX(bounds!$23:$41,MATCH(targets!$A18,bounds!$A$23:$A$41,0), MATCH(H$1,bounds!$23:$23,0))</f>
        <v>82.8</v>
      </c>
      <c r="I18" s="2">
        <f>INDEX(bounds!$23:$41,MATCH(targets!$A18,bounds!$A$23:$A$41,0), MATCH(I$1,bounds!$23:$23,0))</f>
        <v>79.990143004942581</v>
      </c>
      <c r="J18" s="2">
        <f>INDEX(bounds!$23:$41,MATCH(targets!$A18,bounds!$A$23:$A$41,0), MATCH(J$1,bounds!$23:$23,0))</f>
        <v>85.674831914507308</v>
      </c>
      <c r="K18" s="1" t="s">
        <v>21</v>
      </c>
    </row>
    <row r="19" spans="1:11">
      <c r="A19" s="1" t="str">
        <f t="shared" si="5"/>
        <v>incidence_clin_72</v>
      </c>
      <c r="B19" s="1" t="s">
        <v>19</v>
      </c>
      <c r="C19" s="1">
        <v>70</v>
      </c>
      <c r="D19" s="1">
        <f t="shared" si="4"/>
        <v>75</v>
      </c>
      <c r="E19" s="1">
        <f t="shared" si="1"/>
        <v>72</v>
      </c>
      <c r="F19" s="2">
        <f>INDEX(bounds!$23:$41,MATCH(targets!$A19,bounds!$A$23:$A$41,0), MATCH(F$1,bounds!$23:$23,0))</f>
        <v>3492.4151367184104</v>
      </c>
      <c r="G19" s="2">
        <f>INDEX(bounds!$23:$41,MATCH(targets!$A19,bounds!$A$23:$A$41,0), MATCH(G$1,bounds!$23:$23,0))</f>
        <v>3201113.7825100003</v>
      </c>
      <c r="H19" s="2">
        <f>INDEX(bounds!$23:$41,MATCH(targets!$A19,bounds!$A$23:$A$41,0), MATCH(H$1,bounds!$23:$23,0))</f>
        <v>109.1</v>
      </c>
      <c r="I19" s="2">
        <f>INDEX(bounds!$23:$41,MATCH(targets!$A19,bounds!$A$23:$A$41,0), MATCH(I$1,bounds!$23:$23,0))</f>
        <v>105.45249909757202</v>
      </c>
      <c r="J19" s="2">
        <f>INDEX(bounds!$23:$41,MATCH(targets!$A19,bounds!$A$23:$A$41,0), MATCH(J$1,bounds!$23:$23,0))</f>
        <v>112.82992889659357</v>
      </c>
      <c r="K19" s="1" t="s">
        <v>21</v>
      </c>
    </row>
    <row r="20" spans="1:11">
      <c r="A20" s="1" t="str">
        <f t="shared" si="5"/>
        <v>incidence_clin_77</v>
      </c>
      <c r="B20" s="1" t="s">
        <v>19</v>
      </c>
      <c r="C20" s="1">
        <v>75</v>
      </c>
      <c r="D20" s="1">
        <f t="shared" si="4"/>
        <v>80</v>
      </c>
      <c r="E20" s="1">
        <f t="shared" si="1"/>
        <v>77</v>
      </c>
      <c r="F20" s="2">
        <f>INDEX(bounds!$23:$41,MATCH(targets!$A20,bounds!$A$23:$A$41,0), MATCH(F$1,bounds!$23:$23,0))</f>
        <v>2981.061795768579</v>
      </c>
      <c r="G20" s="2">
        <f>INDEX(bounds!$23:$41,MATCH(targets!$A20,bounds!$A$23:$A$41,0), MATCH(G$1,bounds!$23:$23,0))</f>
        <v>2254963.5368899996</v>
      </c>
      <c r="H20" s="2">
        <f>INDEX(bounds!$23:$41,MATCH(targets!$A20,bounds!$A$23:$A$41,0), MATCH(H$1,bounds!$23:$23,0))</f>
        <v>132.19999999999999</v>
      </c>
      <c r="I20" s="2">
        <f>INDEX(bounds!$23:$41,MATCH(targets!$A20,bounds!$A$23:$A$41,0), MATCH(I$1,bounds!$23:$23,0))</f>
        <v>127.42849266253278</v>
      </c>
      <c r="J20" s="2">
        <f>INDEX(bounds!$23:$41,MATCH(targets!$A20,bounds!$A$23:$A$41,0), MATCH(J$1,bounds!$23:$23,0))</f>
        <v>137.07498967213519</v>
      </c>
      <c r="K20" s="1" t="s">
        <v>21</v>
      </c>
    </row>
    <row r="21" spans="1:11">
      <c r="A21" s="1" t="str">
        <f t="shared" si="5"/>
        <v>incidence_clin_82</v>
      </c>
      <c r="B21" s="1" t="s">
        <v>19</v>
      </c>
      <c r="C21" s="1">
        <v>80</v>
      </c>
      <c r="D21" s="1">
        <f t="shared" si="4"/>
        <v>85</v>
      </c>
      <c r="E21" s="1">
        <f t="shared" si="1"/>
        <v>82</v>
      </c>
      <c r="F21" s="2">
        <f>INDEX(bounds!$23:$41,MATCH(targets!$A21,bounds!$A$23:$A$41,0), MATCH(F$1,bounds!$23:$23,0))</f>
        <v>2005.43857566867</v>
      </c>
      <c r="G21" s="2">
        <f>INDEX(bounds!$23:$41,MATCH(targets!$A21,bounds!$A$23:$A$41,0), MATCH(G$1,bounds!$23:$23,0))</f>
        <v>1343227.4451899999</v>
      </c>
      <c r="H21" s="2">
        <f>INDEX(bounds!$23:$41,MATCH(targets!$A21,bounds!$A$23:$A$41,0), MATCH(H$1,bounds!$23:$23,0))</f>
        <v>149.30000000000001</v>
      </c>
      <c r="I21" s="2">
        <f>INDEX(bounds!$23:$41,MATCH(targets!$A21,bounds!$A$23:$A$41,0), MATCH(I$1,bounds!$23:$23,0))</f>
        <v>142.7680888200511</v>
      </c>
      <c r="J21" s="2">
        <f>INDEX(bounds!$23:$41,MATCH(targets!$A21,bounds!$A$23:$A$41,0), MATCH(J$1,bounds!$23:$23,0))</f>
        <v>156.02337488989809</v>
      </c>
      <c r="K21" s="1" t="s">
        <v>21</v>
      </c>
    </row>
    <row r="22" spans="1:11">
      <c r="A22" s="1" t="str">
        <f t="shared" si="5"/>
        <v>incidence_clin_92</v>
      </c>
      <c r="B22" s="1" t="s">
        <v>19</v>
      </c>
      <c r="C22" s="1">
        <v>85</v>
      </c>
      <c r="D22" s="1">
        <v>100</v>
      </c>
      <c r="E22" s="1">
        <f t="shared" si="1"/>
        <v>92</v>
      </c>
      <c r="F22" s="2">
        <f>INDEX(bounds!$23:$41,MATCH(targets!$A22,bounds!$A$23:$A$41,0), MATCH(F$1,bounds!$23:$23,0))</f>
        <v>1258.9121706180499</v>
      </c>
      <c r="G22" s="2">
        <f>INDEX(bounds!$23:$41,MATCH(targets!$A22,bounds!$A$23:$A$41,0), MATCH(G$1,bounds!$23:$23,0))</f>
        <v>888434.84165000007</v>
      </c>
      <c r="H22" s="2">
        <f>INDEX(bounds!$23:$41,MATCH(targets!$A22,bounds!$A$23:$A$41,0), MATCH(H$1,bounds!$23:$23,0))</f>
        <v>141.69999999999999</v>
      </c>
      <c r="I22" s="2">
        <f>INDEX(bounds!$23:$41,MATCH(targets!$A22,bounds!$A$23:$A$41,0), MATCH(I$1,bounds!$23:$23,0))</f>
        <v>133.87986472565848</v>
      </c>
      <c r="J22" s="2">
        <f>INDEX(bounds!$23:$41,MATCH(targets!$A22,bounds!$A$23:$A$41,0), MATCH(J$1,bounds!$23:$23,0))</f>
        <v>149.75933097441057</v>
      </c>
      <c r="K22" s="1" t="s">
        <v>21</v>
      </c>
    </row>
    <row r="23" spans="1:11">
      <c r="A23" s="1" t="str">
        <f t="shared" si="0"/>
        <v>stage_distr_1</v>
      </c>
      <c r="B23" s="1" t="s">
        <v>8</v>
      </c>
      <c r="E23" s="1">
        <v>1</v>
      </c>
      <c r="F23" s="2">
        <f>INDEX(bounds!$A$6:$L$1048576,MATCH(targets!$A23,bounds!$A$6:$A$1048576,0), MATCH(F$1,bounds!$6:$6,0))</f>
        <v>21522.9</v>
      </c>
      <c r="G23" s="2">
        <f>INDEX(bounds!$A$6:$L$1048576,MATCH(targets!$A23,bounds!$A$6:$A$1048576,0), MATCH(G$1,bounds!$6:$6,0))</f>
        <v>27630.75</v>
      </c>
      <c r="H23" s="2">
        <f>INDEX(bounds!$A$6:$L$1048576,MATCH(targets!$A23,bounds!$A$6:$A$1048576,0), MATCH(H$1,bounds!$6:$6,0))</f>
        <v>0.77894736842105272</v>
      </c>
      <c r="I23" s="2">
        <f>INDEX(bounds!$A$6:$L$1048576,MATCH(targets!$A23,bounds!$A$6:$A$1048576,0), MATCH(I$1,bounds!$6:$6,0))</f>
        <v>0.77401602151958493</v>
      </c>
      <c r="J23" s="2">
        <f>INDEX(bounds!$A$6:$L$1048576,MATCH(targets!$A23,bounds!$A$6:$A$1048576,0), MATCH(J$1,bounds!$6:$6,0))</f>
        <v>0.78380116289475799</v>
      </c>
      <c r="K23" s="1" t="s">
        <v>21</v>
      </c>
    </row>
    <row r="24" spans="1:11">
      <c r="A24" s="1" t="str">
        <f t="shared" si="0"/>
        <v>stage_distr_2</v>
      </c>
      <c r="B24" s="1" t="s">
        <v>8</v>
      </c>
      <c r="E24" s="1">
        <v>2</v>
      </c>
      <c r="F24" s="2">
        <f>INDEX(bounds!$A$6:$L$1048576,MATCH(targets!$A24,bounds!$A$6:$A$1048576,0), MATCH(F$1,bounds!$6:$6,0))</f>
        <v>5235.3</v>
      </c>
      <c r="G24" s="2">
        <f>INDEX(bounds!$A$6:$L$1048576,MATCH(targets!$A24,bounds!$A$6:$A$1048576,0), MATCH(G$1,bounds!$6:$6,0))</f>
        <v>27630.75</v>
      </c>
      <c r="H24" s="2">
        <f>INDEX(bounds!$A$6:$L$1048576,MATCH(targets!$A24,bounds!$A$6:$A$1048576,0), MATCH(H$1,bounds!$6:$6,0))</f>
        <v>0.18947368421052632</v>
      </c>
      <c r="I24" s="2">
        <f>INDEX(bounds!$A$6:$L$1048576,MATCH(targets!$A24,bounds!$A$6:$A$1048576,0), MATCH(I$1,bounds!$6:$6,0))</f>
        <v>0.18489624853500833</v>
      </c>
      <c r="J24" s="2">
        <f>INDEX(bounds!$A$6:$L$1048576,MATCH(targets!$A24,bounds!$A$6:$A$1048576,0), MATCH(J$1,bounds!$6:$6,0))</f>
        <v>0.19413745183393108</v>
      </c>
      <c r="K24" s="1" t="s">
        <v>21</v>
      </c>
    </row>
    <row r="25" spans="1:11">
      <c r="A25" s="1" t="str">
        <f t="shared" si="0"/>
        <v>stage_distr_3</v>
      </c>
      <c r="B25" s="1" t="s">
        <v>8</v>
      </c>
      <c r="E25" s="1">
        <v>3</v>
      </c>
      <c r="F25" s="2">
        <f>INDEX(bounds!$A$6:$L$1048576,MATCH(targets!$A25,bounds!$A$6:$A$1048576,0), MATCH(F$1,bounds!$6:$6,0))</f>
        <v>872.55</v>
      </c>
      <c r="G25" s="2">
        <f>INDEX(bounds!$A$6:$L$1048576,MATCH(targets!$A25,bounds!$A$6:$A$1048576,0), MATCH(G$1,bounds!$6:$6,0))</f>
        <v>27630.75</v>
      </c>
      <c r="H25" s="2">
        <f>INDEX(bounds!$A$6:$L$1048576,MATCH(targets!$A25,bounds!$A$6:$A$1048576,0), MATCH(H$1,bounds!$6:$6,0))</f>
        <v>3.1578947368421054E-2</v>
      </c>
      <c r="I25" s="2">
        <f>INDEX(bounds!$A$6:$L$1048576,MATCH(targets!$A25,bounds!$A$6:$A$1048576,0), MATCH(I$1,bounds!$6:$6,0))</f>
        <v>2.9581205871892616E-2</v>
      </c>
      <c r="J25" s="2">
        <f>INDEX(bounds!$A$6:$L$1048576,MATCH(targets!$A25,bounds!$A$6:$A$1048576,0), MATCH(J$1,bounds!$6:$6,0))</f>
        <v>3.3706918413456612E-2</v>
      </c>
      <c r="K25" s="1" t="s">
        <v>21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31A2-898F-7F45-AC2C-D0D6D35A5E8A}">
  <dimension ref="A1:X45"/>
  <sheetViews>
    <sheetView topLeftCell="A5" workbookViewId="0">
      <selection activeCell="M26" sqref="M26"/>
    </sheetView>
  </sheetViews>
  <sheetFormatPr baseColWidth="10" defaultRowHeight="16"/>
  <cols>
    <col min="1" max="1" width="21.33203125" style="1" customWidth="1"/>
    <col min="2" max="16384" width="10.83203125" style="1"/>
  </cols>
  <sheetData>
    <row r="1" spans="1:12">
      <c r="A1" s="1" t="s">
        <v>17</v>
      </c>
    </row>
    <row r="2" spans="1:12">
      <c r="A2" s="1" t="s">
        <v>15</v>
      </c>
    </row>
    <row r="3" spans="1:12">
      <c r="A3" s="1" t="s">
        <v>13</v>
      </c>
      <c r="B3" s="1">
        <v>0.05</v>
      </c>
    </row>
    <row r="4" spans="1:12">
      <c r="A4" s="1" t="s">
        <v>14</v>
      </c>
      <c r="B4" s="1">
        <f>_xlfn.NORM.S.INV(1-B3/2)</f>
        <v>1.9599639845400536</v>
      </c>
    </row>
    <row r="6" spans="1:12">
      <c r="A6" s="1" t="s">
        <v>0</v>
      </c>
      <c r="B6" s="1" t="s">
        <v>1</v>
      </c>
      <c r="C6" s="1" t="s">
        <v>3</v>
      </c>
      <c r="D6" s="1" t="s">
        <v>4</v>
      </c>
      <c r="E6" s="1" t="s">
        <v>5</v>
      </c>
      <c r="F6" s="1" t="s">
        <v>7</v>
      </c>
      <c r="G6" s="1" t="s">
        <v>11</v>
      </c>
      <c r="H6" s="1" t="s">
        <v>12</v>
      </c>
      <c r="I6" s="1" t="s">
        <v>2</v>
      </c>
      <c r="J6" s="1" t="s">
        <v>16</v>
      </c>
      <c r="K6" s="1" t="s">
        <v>9</v>
      </c>
      <c r="L6" s="1" t="s">
        <v>10</v>
      </c>
    </row>
    <row r="7" spans="1:12">
      <c r="A7" s="1" t="str">
        <f>B7&amp;"_"&amp;E7</f>
        <v>prevalence_preclin_71</v>
      </c>
      <c r="B7" s="1" t="s">
        <v>18</v>
      </c>
      <c r="C7" s="2">
        <v>66</v>
      </c>
      <c r="D7" s="2">
        <v>76</v>
      </c>
      <c r="E7" s="1">
        <f t="shared" ref="E7:E9" si="0">FLOOR(AVERAGE(C7,D7), 1)</f>
        <v>71</v>
      </c>
      <c r="G7" s="1">
        <v>1810</v>
      </c>
      <c r="H7" s="1">
        <v>1</v>
      </c>
      <c r="I7" s="1">
        <f>H7/G7</f>
        <v>5.5248618784530391E-4</v>
      </c>
      <c r="J7" s="1">
        <f t="shared" ref="J7:J9" si="1">$B$4^2/G7</f>
        <v>2.1223529396100132E-3</v>
      </c>
      <c r="K7" s="1">
        <f t="shared" ref="K7:K9" si="2">(I7+J7/2)/(J7+1)-$B$4/(J7+1)*SQRT(I7*(1-I7)/G7+J7/(4*G7))</f>
        <v>9.7534036711855159E-5</v>
      </c>
      <c r="L7" s="1">
        <f t="shared" ref="L7:L9" si="3">(I7+J7/2)/(J7+1)+$B$4/(J7+1)*SQRT(I7*(1-I7)/G7+J7/(4*G7))</f>
        <v>3.1229562615372915E-3</v>
      </c>
    </row>
    <row r="8" spans="1:12">
      <c r="A8" s="1" t="str">
        <f t="shared" ref="A8:A12" si="4">B8&amp;"_"&amp;E8</f>
        <v>prevalence_preclin_80</v>
      </c>
      <c r="B8" s="1" t="s">
        <v>18</v>
      </c>
      <c r="C8" s="2">
        <v>76</v>
      </c>
      <c r="D8" s="2">
        <v>85</v>
      </c>
      <c r="E8" s="1">
        <f t="shared" si="0"/>
        <v>80</v>
      </c>
      <c r="G8" s="1">
        <v>1307</v>
      </c>
      <c r="H8" s="1">
        <v>2</v>
      </c>
      <c r="I8" s="1">
        <f t="shared" ref="I8:I9" si="5">H8/G8</f>
        <v>1.530221882172915E-3</v>
      </c>
      <c r="J8" s="1">
        <f t="shared" si="1"/>
        <v>2.9391421734461542E-3</v>
      </c>
      <c r="K8" s="1">
        <f t="shared" si="2"/>
        <v>4.1974238437163421E-4</v>
      </c>
      <c r="L8" s="1">
        <f t="shared" si="3"/>
        <v>5.562261593248006E-3</v>
      </c>
    </row>
    <row r="9" spans="1:12">
      <c r="A9" s="1" t="str">
        <f t="shared" si="4"/>
        <v>prevalence_preclin_90</v>
      </c>
      <c r="B9" s="1" t="s">
        <v>18</v>
      </c>
      <c r="C9" s="2">
        <v>85</v>
      </c>
      <c r="D9" s="2">
        <v>95</v>
      </c>
      <c r="E9" s="1">
        <f t="shared" si="0"/>
        <v>90</v>
      </c>
      <c r="G9" s="1">
        <v>418</v>
      </c>
      <c r="H9" s="1">
        <v>5</v>
      </c>
      <c r="I9" s="1">
        <f t="shared" si="5"/>
        <v>1.1961722488038277E-2</v>
      </c>
      <c r="J9" s="1">
        <f t="shared" si="1"/>
        <v>9.1900928724739806E-3</v>
      </c>
      <c r="K9" s="1">
        <f t="shared" si="2"/>
        <v>5.1198596930172122E-3</v>
      </c>
      <c r="L9" s="1">
        <f t="shared" si="3"/>
        <v>2.7692132896306509E-2</v>
      </c>
    </row>
    <row r="10" spans="1:12">
      <c r="A10" s="1" t="str">
        <f t="shared" si="4"/>
        <v>stage_distr_1</v>
      </c>
      <c r="B10" s="1" t="s">
        <v>8</v>
      </c>
      <c r="E10" s="1">
        <v>1</v>
      </c>
      <c r="G10" s="1">
        <f>29085*0.95</f>
        <v>27630.75</v>
      </c>
      <c r="H10" s="1">
        <f>0.74*29085</f>
        <v>21522.9</v>
      </c>
      <c r="I10" s="1">
        <f t="shared" ref="I10:I12" si="6">H10/G10</f>
        <v>0.77894736842105272</v>
      </c>
      <c r="J10" s="1">
        <f t="shared" ref="J10:J12" si="7">$B$4^2/G10</f>
        <v>1.3902839483887058E-4</v>
      </c>
      <c r="K10" s="1">
        <f t="shared" ref="K10:K12" si="8">(I10+J10/2)/(J10+1)-$B$4/(J10+1)*SQRT(I10*(1-I10)/G10+J10/(4*G10))</f>
        <v>0.77401602151958493</v>
      </c>
      <c r="L10" s="1">
        <f t="shared" ref="L10:L12" si="9">(I10+J10/2)/(J10+1)+$B$4/(J10+1)*SQRT(I10*(1-I10)/G10+J10/(4*G10))</f>
        <v>0.78380116289475799</v>
      </c>
    </row>
    <row r="11" spans="1:12">
      <c r="A11" s="1" t="str">
        <f t="shared" si="4"/>
        <v>stage_distr_2</v>
      </c>
      <c r="B11" s="1" t="s">
        <v>8</v>
      </c>
      <c r="E11" s="1">
        <v>2</v>
      </c>
      <c r="G11" s="1">
        <f t="shared" ref="G11:G12" si="10">29085*0.95</f>
        <v>27630.75</v>
      </c>
      <c r="H11" s="1">
        <f>0.18*29085</f>
        <v>5235.3</v>
      </c>
      <c r="I11" s="1">
        <f t="shared" si="6"/>
        <v>0.18947368421052632</v>
      </c>
      <c r="J11" s="1">
        <f t="shared" si="7"/>
        <v>1.3902839483887058E-4</v>
      </c>
      <c r="K11" s="1">
        <f t="shared" si="8"/>
        <v>0.18489624853500833</v>
      </c>
      <c r="L11" s="1">
        <f t="shared" si="9"/>
        <v>0.19413745183393108</v>
      </c>
    </row>
    <row r="12" spans="1:12">
      <c r="A12" s="1" t="str">
        <f t="shared" si="4"/>
        <v>stage_distr_3</v>
      </c>
      <c r="B12" s="1" t="s">
        <v>8</v>
      </c>
      <c r="E12" s="1">
        <v>3</v>
      </c>
      <c r="G12" s="1">
        <f t="shared" si="10"/>
        <v>27630.75</v>
      </c>
      <c r="H12" s="1">
        <f>0.03*29085</f>
        <v>872.55</v>
      </c>
      <c r="I12" s="1">
        <f t="shared" si="6"/>
        <v>3.1578947368421054E-2</v>
      </c>
      <c r="J12" s="1">
        <f t="shared" si="7"/>
        <v>1.3902839483887058E-4</v>
      </c>
      <c r="K12" s="1">
        <f t="shared" si="8"/>
        <v>2.9581205871892616E-2</v>
      </c>
      <c r="L12" s="1">
        <f t="shared" si="9"/>
        <v>3.3706918413456612E-2</v>
      </c>
    </row>
    <row r="14" spans="1:12">
      <c r="A14" s="1" t="s">
        <v>23</v>
      </c>
    </row>
    <row r="15" spans="1:12">
      <c r="A15" s="1" t="s">
        <v>26</v>
      </c>
    </row>
    <row r="16" spans="1:12">
      <c r="A16" s="1" t="s">
        <v>24</v>
      </c>
      <c r="B16" s="1">
        <v>1000000</v>
      </c>
    </row>
    <row r="17" spans="1:24">
      <c r="A17" s="1" t="s">
        <v>22</v>
      </c>
      <c r="B17" s="1">
        <v>23898718</v>
      </c>
    </row>
    <row r="18" spans="1:24">
      <c r="A18" s="1" t="s">
        <v>27</v>
      </c>
      <c r="B18" s="1">
        <v>1989</v>
      </c>
      <c r="W18" s="4"/>
      <c r="X18" s="5"/>
    </row>
    <row r="19" spans="1:24">
      <c r="A19" s="1" t="s">
        <v>28</v>
      </c>
      <c r="B19" s="1">
        <v>1993</v>
      </c>
      <c r="W19" s="4"/>
      <c r="X19" s="5"/>
    </row>
    <row r="20" spans="1:24">
      <c r="A20" s="1" t="s">
        <v>29</v>
      </c>
      <c r="B20" s="1">
        <v>100000</v>
      </c>
      <c r="W20" s="4"/>
      <c r="X20" s="5"/>
    </row>
    <row r="21" spans="1:24">
      <c r="A21" s="1" t="s">
        <v>33</v>
      </c>
      <c r="B21" s="5">
        <v>22682</v>
      </c>
      <c r="W21" s="4"/>
      <c r="X21" s="5"/>
    </row>
    <row r="22" spans="1:24">
      <c r="D22" s="1" t="s">
        <v>31</v>
      </c>
      <c r="E22" s="1" t="s">
        <v>25</v>
      </c>
      <c r="W22" s="4"/>
      <c r="X22" s="5"/>
    </row>
    <row r="23" spans="1:24">
      <c r="A23" s="1" t="s">
        <v>0</v>
      </c>
      <c r="B23" s="1" t="s">
        <v>1</v>
      </c>
      <c r="C23" s="1" t="s">
        <v>3</v>
      </c>
      <c r="D23" s="1" t="s">
        <v>4</v>
      </c>
      <c r="E23" s="1" t="s">
        <v>5</v>
      </c>
      <c r="F23" s="1" t="s">
        <v>24</v>
      </c>
      <c r="G23" s="1" t="s">
        <v>11</v>
      </c>
      <c r="H23" s="1" t="s">
        <v>12</v>
      </c>
      <c r="I23" s="1" t="s">
        <v>35</v>
      </c>
      <c r="J23" s="1" t="s">
        <v>36</v>
      </c>
      <c r="K23" s="1" t="s">
        <v>2</v>
      </c>
      <c r="L23" s="1" t="s">
        <v>32</v>
      </c>
      <c r="M23" s="1" t="s">
        <v>9</v>
      </c>
      <c r="N23" s="1" t="s">
        <v>10</v>
      </c>
    </row>
    <row r="24" spans="1:24">
      <c r="A24" s="1" t="str">
        <f t="shared" ref="A24:A41" si="11">B24&amp;"_"&amp;E24</f>
        <v>incidence_clin_2</v>
      </c>
      <c r="B24" s="1" t="s">
        <v>19</v>
      </c>
      <c r="C24" s="1">
        <v>0</v>
      </c>
      <c r="D24" s="1">
        <v>5</v>
      </c>
      <c r="E24" s="1">
        <f t="shared" ref="E24:E41" si="12">FLOOR(AVERAGE(C24,D24), 1)</f>
        <v>2</v>
      </c>
      <c r="F24" s="1">
        <v>84416</v>
      </c>
      <c r="G24" s="1">
        <f t="shared" ref="G24:G41" si="13">F24/$B$16*$B$17*($B$19-$B$18+1)</f>
        <v>10087170.893440001</v>
      </c>
      <c r="H24" s="1">
        <f t="shared" ref="H24:H41" si="14">K24*G24/$B$20</f>
        <v>10.087170893440002</v>
      </c>
      <c r="I24" s="1">
        <f>MAX(0, K24-0.05)*G24/$B$20</f>
        <v>5.0435854467200008</v>
      </c>
      <c r="J24" s="1">
        <f>(K24+0.05)*G24/$B$20</f>
        <v>15.130756340160005</v>
      </c>
      <c r="K24" s="1">
        <v>0.1</v>
      </c>
      <c r="L24" s="1">
        <f>SUM(H24:H27)/H42</f>
        <v>1.6241209331261943E-3</v>
      </c>
      <c r="M24" s="1">
        <f>IFERROR(0.5*_xlfn.CHISQ.INV($B$3/2,2*I24)/$G24*$B$20, 0)</f>
        <v>1.6094566130273689E-2</v>
      </c>
      <c r="N24" s="1">
        <f>IFERROR(0.5*_xlfn.CHISQ.INV(1-$B$3/2,2*($J24+1))/$G24*$B$20, 0)</f>
        <v>0.24526419878119815</v>
      </c>
    </row>
    <row r="25" spans="1:24">
      <c r="A25" s="1" t="str">
        <f t="shared" si="11"/>
        <v>incidence_clin_7</v>
      </c>
      <c r="B25" s="1" t="s">
        <v>19</v>
      </c>
      <c r="C25" s="1">
        <v>5</v>
      </c>
      <c r="D25" s="1">
        <f>C26</f>
        <v>10</v>
      </c>
      <c r="E25" s="1">
        <f t="shared" si="12"/>
        <v>7</v>
      </c>
      <c r="F25" s="1">
        <v>98204</v>
      </c>
      <c r="G25" s="1">
        <f t="shared" si="13"/>
        <v>11734748.512359999</v>
      </c>
      <c r="H25" s="1">
        <f t="shared" si="14"/>
        <v>11.734748512359999</v>
      </c>
      <c r="I25" s="1">
        <f t="shared" ref="I25:I41" si="15">MAX(0, K25-0.05)*G25/$B$20</f>
        <v>5.8673742561799997</v>
      </c>
      <c r="J25" s="1">
        <f t="shared" ref="J25:J41" si="16">(K25+0.05)*G25/$B$20</f>
        <v>17.602122768539999</v>
      </c>
      <c r="K25" s="1">
        <v>0.1</v>
      </c>
      <c r="M25" s="1">
        <f t="shared" ref="M25:M41" si="17">IFERROR(0.5*_xlfn.CHISQ.INV($B$3/2,2*I25)/$G25*$B$20, 0)</f>
        <v>1.6258329900368296E-2</v>
      </c>
      <c r="N25" s="1">
        <f t="shared" ref="N25:N41" si="18">IFERROR(0.5*_xlfn.CHISQ.INV(1-$B$3/2,2*($J25+1))/$G25*$B$20, 0)</f>
        <v>0.23719286870795328</v>
      </c>
    </row>
    <row r="26" spans="1:24">
      <c r="A26" s="1" t="str">
        <f t="shared" si="11"/>
        <v>incidence_clin_12</v>
      </c>
      <c r="B26" s="1" t="s">
        <v>19</v>
      </c>
      <c r="C26" s="1">
        <v>10</v>
      </c>
      <c r="D26" s="1">
        <f t="shared" ref="D26:D40" si="19">C27</f>
        <v>15</v>
      </c>
      <c r="E26" s="1">
        <f t="shared" si="12"/>
        <v>12</v>
      </c>
      <c r="F26" s="1">
        <v>102304</v>
      </c>
      <c r="G26" s="1">
        <f t="shared" si="13"/>
        <v>12224672.231360001</v>
      </c>
      <c r="H26" s="1">
        <f t="shared" si="14"/>
        <v>0</v>
      </c>
      <c r="I26" s="1">
        <f t="shared" si="15"/>
        <v>0</v>
      </c>
      <c r="J26" s="1">
        <f t="shared" si="16"/>
        <v>6.1123361156800007</v>
      </c>
      <c r="K26" s="1">
        <v>0</v>
      </c>
      <c r="M26" s="1">
        <f t="shared" si="17"/>
        <v>0</v>
      </c>
      <c r="N26" s="1">
        <f t="shared" si="18"/>
        <v>0.10682882759847878</v>
      </c>
    </row>
    <row r="27" spans="1:24">
      <c r="A27" s="1" t="str">
        <f t="shared" si="11"/>
        <v>incidence_clin_17</v>
      </c>
      <c r="B27" s="1" t="s">
        <v>19</v>
      </c>
      <c r="C27" s="1">
        <v>15</v>
      </c>
      <c r="D27" s="1">
        <f t="shared" si="19"/>
        <v>20</v>
      </c>
      <c r="E27" s="1">
        <f t="shared" si="12"/>
        <v>17</v>
      </c>
      <c r="F27" s="1">
        <v>93845</v>
      </c>
      <c r="G27" s="1">
        <f t="shared" si="13"/>
        <v>11213875.95355</v>
      </c>
      <c r="H27" s="1">
        <f t="shared" si="14"/>
        <v>11.213875953550001</v>
      </c>
      <c r="I27" s="1">
        <f t="shared" si="15"/>
        <v>5.6069379767750007</v>
      </c>
      <c r="J27" s="1">
        <f t="shared" si="16"/>
        <v>16.820813930325002</v>
      </c>
      <c r="K27" s="1">
        <v>0.1</v>
      </c>
      <c r="M27" s="1">
        <f t="shared" si="17"/>
        <v>1.7013511956265843E-2</v>
      </c>
      <c r="N27" s="1">
        <f t="shared" si="18"/>
        <v>0.23722104989583823</v>
      </c>
    </row>
    <row r="28" spans="1:24">
      <c r="A28" s="1" t="str">
        <f t="shared" si="11"/>
        <v>incidence_clin_22</v>
      </c>
      <c r="B28" s="1" t="s">
        <v>19</v>
      </c>
      <c r="C28" s="1">
        <v>20</v>
      </c>
      <c r="D28" s="1">
        <f t="shared" si="19"/>
        <v>25</v>
      </c>
      <c r="E28" s="1">
        <f t="shared" si="12"/>
        <v>22</v>
      </c>
      <c r="F28" s="1">
        <v>80561</v>
      </c>
      <c r="G28" s="1">
        <f t="shared" si="13"/>
        <v>9626523.1039899997</v>
      </c>
      <c r="H28" s="1">
        <f t="shared" si="14"/>
        <v>28.879569311969998</v>
      </c>
      <c r="I28" s="1">
        <f t="shared" si="15"/>
        <v>24.066307759975</v>
      </c>
      <c r="J28" s="1">
        <f t="shared" si="16"/>
        <v>33.692830863964993</v>
      </c>
      <c r="K28" s="1">
        <v>0.3</v>
      </c>
      <c r="L28" s="1">
        <f>SUM(H28:H30)/H42</f>
        <v>7.0026509067945388E-3</v>
      </c>
      <c r="M28" s="1">
        <f t="shared" si="17"/>
        <v>0.1597383882900868</v>
      </c>
      <c r="N28" s="1">
        <f t="shared" si="18"/>
        <v>0.4874889418786299</v>
      </c>
    </row>
    <row r="29" spans="1:24">
      <c r="A29" s="1" t="str">
        <f t="shared" si="11"/>
        <v>incidence_clin_27</v>
      </c>
      <c r="B29" s="1" t="s">
        <v>19</v>
      </c>
      <c r="C29" s="1">
        <v>25</v>
      </c>
      <c r="D29" s="1">
        <f t="shared" si="19"/>
        <v>30</v>
      </c>
      <c r="E29" s="1">
        <f t="shared" si="12"/>
        <v>27</v>
      </c>
      <c r="F29" s="1">
        <v>66320</v>
      </c>
      <c r="G29" s="1">
        <f t="shared" si="13"/>
        <v>7924814.8888000008</v>
      </c>
      <c r="H29" s="1">
        <f t="shared" si="14"/>
        <v>39.624074444000001</v>
      </c>
      <c r="I29" s="1">
        <f t="shared" si="15"/>
        <v>35.661666999600001</v>
      </c>
      <c r="J29" s="1">
        <f t="shared" si="16"/>
        <v>43.586481888400009</v>
      </c>
      <c r="K29" s="1">
        <v>0.5</v>
      </c>
      <c r="M29" s="1">
        <f t="shared" si="17"/>
        <v>0.31289158139055295</v>
      </c>
      <c r="N29" s="1">
        <f t="shared" si="18"/>
        <v>0.73811868911234746</v>
      </c>
    </row>
    <row r="30" spans="1:24">
      <c r="A30" s="1" t="str">
        <f t="shared" si="11"/>
        <v>incidence_clin_32</v>
      </c>
      <c r="B30" s="1" t="s">
        <v>19</v>
      </c>
      <c r="C30" s="1">
        <v>30</v>
      </c>
      <c r="D30" s="1">
        <f t="shared" si="19"/>
        <v>35</v>
      </c>
      <c r="E30" s="1">
        <f t="shared" si="12"/>
        <v>32</v>
      </c>
      <c r="F30" s="1">
        <v>56249</v>
      </c>
      <c r="G30" s="1">
        <f t="shared" si="13"/>
        <v>6721394.9439099999</v>
      </c>
      <c r="H30" s="1">
        <f t="shared" si="14"/>
        <v>73.935344383010005</v>
      </c>
      <c r="I30" s="1">
        <f t="shared" si="15"/>
        <v>70.574646911054998</v>
      </c>
      <c r="J30" s="1">
        <f t="shared" si="16"/>
        <v>77.296041854965011</v>
      </c>
      <c r="K30" s="1">
        <v>1.1000000000000001</v>
      </c>
      <c r="M30" s="1">
        <f t="shared" si="17"/>
        <v>0.8184299276747744</v>
      </c>
      <c r="N30" s="1">
        <f t="shared" si="18"/>
        <v>1.4317978530233426</v>
      </c>
    </row>
    <row r="31" spans="1:24">
      <c r="A31" s="1" t="str">
        <f t="shared" si="11"/>
        <v>incidence_clin_37</v>
      </c>
      <c r="B31" s="1" t="s">
        <v>19</v>
      </c>
      <c r="C31" s="1">
        <v>35</v>
      </c>
      <c r="D31" s="1">
        <f t="shared" si="19"/>
        <v>40</v>
      </c>
      <c r="E31" s="1">
        <f t="shared" si="12"/>
        <v>37</v>
      </c>
      <c r="F31" s="1">
        <v>54656</v>
      </c>
      <c r="G31" s="1">
        <f t="shared" si="13"/>
        <v>6531041.6550400006</v>
      </c>
      <c r="H31" s="1">
        <f t="shared" si="14"/>
        <v>143.68291641088004</v>
      </c>
      <c r="I31" s="1">
        <f t="shared" si="15"/>
        <v>140.41739558336002</v>
      </c>
      <c r="J31" s="1">
        <f t="shared" si="16"/>
        <v>146.94843723840003</v>
      </c>
      <c r="K31" s="1">
        <v>2.2000000000000002</v>
      </c>
      <c r="L31" s="1">
        <f>SUM(H31:H32)/$H$42</f>
        <v>2.1957052888418878E-2</v>
      </c>
      <c r="M31" s="1">
        <f t="shared" si="17"/>
        <v>1.8032433025804822</v>
      </c>
      <c r="N31" s="1">
        <f t="shared" si="18"/>
        <v>2.6371938700704867</v>
      </c>
    </row>
    <row r="32" spans="1:24">
      <c r="A32" s="1" t="str">
        <f t="shared" si="11"/>
        <v>incidence_clin_42</v>
      </c>
      <c r="B32" s="1" t="s">
        <v>19</v>
      </c>
      <c r="C32" s="1">
        <v>40</v>
      </c>
      <c r="D32" s="1">
        <f t="shared" si="19"/>
        <v>45</v>
      </c>
      <c r="E32" s="1">
        <f t="shared" si="12"/>
        <v>42</v>
      </c>
      <c r="F32" s="1">
        <v>58958</v>
      </c>
      <c r="G32" s="1">
        <f t="shared" si="13"/>
        <v>7045103.0792200007</v>
      </c>
      <c r="H32" s="1">
        <f t="shared" si="14"/>
        <v>302.93943240646001</v>
      </c>
      <c r="I32" s="1">
        <f t="shared" si="15"/>
        <v>299.41688086685002</v>
      </c>
      <c r="J32" s="1">
        <f t="shared" si="16"/>
        <v>306.46198394607001</v>
      </c>
      <c r="K32" s="1">
        <v>4.3</v>
      </c>
      <c r="M32" s="1">
        <f t="shared" si="17"/>
        <v>3.7766078728748678</v>
      </c>
      <c r="N32" s="1">
        <f t="shared" si="18"/>
        <v>4.8583883346410159</v>
      </c>
    </row>
    <row r="33" spans="1:14">
      <c r="A33" s="1" t="str">
        <f t="shared" si="11"/>
        <v>incidence_clin_47</v>
      </c>
      <c r="B33" s="1" t="s">
        <v>19</v>
      </c>
      <c r="C33" s="1">
        <v>45</v>
      </c>
      <c r="D33" s="1">
        <f t="shared" si="19"/>
        <v>50</v>
      </c>
      <c r="E33" s="1">
        <f t="shared" si="12"/>
        <v>47</v>
      </c>
      <c r="F33" s="1">
        <v>59622</v>
      </c>
      <c r="G33" s="1">
        <f t="shared" si="13"/>
        <v>7124446.8229799997</v>
      </c>
      <c r="H33" s="1">
        <f t="shared" si="14"/>
        <v>676.82244818309994</v>
      </c>
      <c r="I33" s="1">
        <f t="shared" si="15"/>
        <v>673.26022477160996</v>
      </c>
      <c r="J33" s="1">
        <f t="shared" si="16"/>
        <v>680.38467159458992</v>
      </c>
      <c r="K33" s="1">
        <v>9.5</v>
      </c>
      <c r="L33" s="1">
        <f>SUM(H33:H34)/$H$42</f>
        <v>9.2660309853476744E-2</v>
      </c>
      <c r="M33" s="1">
        <f t="shared" si="17"/>
        <v>8.7460518806358838</v>
      </c>
      <c r="N33" s="1">
        <f t="shared" si="18"/>
        <v>10.289748213803048</v>
      </c>
    </row>
    <row r="34" spans="1:14">
      <c r="A34" s="1" t="str">
        <f t="shared" si="11"/>
        <v>incidence_clin_52</v>
      </c>
      <c r="B34" s="1" t="s">
        <v>19</v>
      </c>
      <c r="C34" s="1">
        <v>50</v>
      </c>
      <c r="D34" s="1">
        <f t="shared" si="19"/>
        <v>55</v>
      </c>
      <c r="E34" s="1">
        <f t="shared" si="12"/>
        <v>52</v>
      </c>
      <c r="F34" s="1">
        <v>54643</v>
      </c>
      <c r="G34" s="1">
        <f t="shared" si="13"/>
        <v>6529488.2383699995</v>
      </c>
      <c r="H34" s="1">
        <f t="shared" si="14"/>
        <v>1207.9553240984499</v>
      </c>
      <c r="I34" s="1">
        <f t="shared" si="15"/>
        <v>1204.6905799792648</v>
      </c>
      <c r="J34" s="1">
        <f t="shared" si="16"/>
        <v>1211.2200682176351</v>
      </c>
      <c r="K34" s="1">
        <v>18.5</v>
      </c>
      <c r="M34" s="1">
        <f t="shared" si="17"/>
        <v>17.419890817649691</v>
      </c>
      <c r="N34" s="1">
        <f t="shared" si="18"/>
        <v>19.621383584718842</v>
      </c>
    </row>
    <row r="35" spans="1:14">
      <c r="A35" s="1" t="str">
        <f t="shared" si="11"/>
        <v>incidence_clin_57</v>
      </c>
      <c r="B35" s="1" t="s">
        <v>19</v>
      </c>
      <c r="C35" s="1">
        <v>55</v>
      </c>
      <c r="D35" s="1">
        <f t="shared" si="19"/>
        <v>60</v>
      </c>
      <c r="E35" s="1">
        <f t="shared" si="12"/>
        <v>57</v>
      </c>
      <c r="F35" s="1">
        <v>49077</v>
      </c>
      <c r="G35" s="1">
        <f t="shared" si="13"/>
        <v>5864386.9164300002</v>
      </c>
      <c r="H35" s="1">
        <f t="shared" si="14"/>
        <v>2011.48471233549</v>
      </c>
      <c r="I35" s="1">
        <f t="shared" si="15"/>
        <v>2008.5525188772749</v>
      </c>
      <c r="J35" s="1">
        <f t="shared" si="16"/>
        <v>2014.4169057937047</v>
      </c>
      <c r="K35" s="1">
        <v>34.299999999999997</v>
      </c>
      <c r="L35" s="1">
        <f>SUM(H35:H36)/$H$42</f>
        <v>0.23066375686826504</v>
      </c>
      <c r="M35" s="1">
        <f t="shared" si="17"/>
        <v>32.767494120937265</v>
      </c>
      <c r="N35" s="1">
        <f t="shared" si="18"/>
        <v>35.876275809580278</v>
      </c>
    </row>
    <row r="36" spans="1:14">
      <c r="A36" s="1" t="str">
        <f t="shared" si="11"/>
        <v>incidence_clin_62</v>
      </c>
      <c r="B36" s="1" t="s">
        <v>19</v>
      </c>
      <c r="C36" s="1">
        <v>60</v>
      </c>
      <c r="D36" s="1">
        <f t="shared" si="19"/>
        <v>65</v>
      </c>
      <c r="E36" s="1">
        <f t="shared" si="12"/>
        <v>62</v>
      </c>
      <c r="F36" s="1">
        <v>42403</v>
      </c>
      <c r="G36" s="1">
        <f t="shared" si="13"/>
        <v>5066886.6967700003</v>
      </c>
      <c r="H36" s="1">
        <f t="shared" si="14"/>
        <v>2680.3830625913301</v>
      </c>
      <c r="I36" s="1">
        <f t="shared" si="15"/>
        <v>2677.8496192429452</v>
      </c>
      <c r="J36" s="1">
        <f t="shared" si="16"/>
        <v>2682.9165059397151</v>
      </c>
      <c r="K36" s="1">
        <v>52.9</v>
      </c>
      <c r="M36" s="1">
        <f t="shared" si="17"/>
        <v>50.860284058021669</v>
      </c>
      <c r="N36" s="1">
        <f t="shared" si="18"/>
        <v>54.983958159669321</v>
      </c>
    </row>
    <row r="37" spans="1:14">
      <c r="A37" s="1" t="str">
        <f t="shared" si="11"/>
        <v>incidence_clin_67</v>
      </c>
      <c r="B37" s="1" t="s">
        <v>19</v>
      </c>
      <c r="C37" s="1">
        <v>65</v>
      </c>
      <c r="D37" s="1">
        <f t="shared" si="19"/>
        <v>70</v>
      </c>
      <c r="E37" s="1">
        <f t="shared" si="12"/>
        <v>67</v>
      </c>
      <c r="F37" s="1">
        <v>34406</v>
      </c>
      <c r="G37" s="1">
        <f t="shared" si="13"/>
        <v>4111296.4575399999</v>
      </c>
      <c r="H37" s="1">
        <f t="shared" si="14"/>
        <v>3404.15346684312</v>
      </c>
      <c r="I37" s="1">
        <f t="shared" si="15"/>
        <v>3402.0978186143498</v>
      </c>
      <c r="J37" s="1">
        <f t="shared" si="16"/>
        <v>3406.2091150718898</v>
      </c>
      <c r="K37" s="1">
        <v>82.8</v>
      </c>
      <c r="L37" s="1">
        <f>SUM(H37:H38)/$H$42</f>
        <v>0.33905227084581235</v>
      </c>
      <c r="M37" s="1">
        <f t="shared" si="17"/>
        <v>79.990143004942581</v>
      </c>
      <c r="N37" s="1">
        <f t="shared" si="18"/>
        <v>85.674831914507308</v>
      </c>
    </row>
    <row r="38" spans="1:14">
      <c r="A38" s="1" t="str">
        <f t="shared" si="11"/>
        <v>incidence_clin_72</v>
      </c>
      <c r="B38" s="1" t="s">
        <v>19</v>
      </c>
      <c r="C38" s="1">
        <v>70</v>
      </c>
      <c r="D38" s="1">
        <f t="shared" si="19"/>
        <v>75</v>
      </c>
      <c r="E38" s="1">
        <f t="shared" si="12"/>
        <v>72</v>
      </c>
      <c r="F38" s="1">
        <v>26789</v>
      </c>
      <c r="G38" s="1">
        <f t="shared" si="13"/>
        <v>3201113.7825100003</v>
      </c>
      <c r="H38" s="1">
        <f t="shared" si="14"/>
        <v>3492.4151367184104</v>
      </c>
      <c r="I38" s="1">
        <f t="shared" si="15"/>
        <v>3490.8145798271553</v>
      </c>
      <c r="J38" s="1">
        <f t="shared" si="16"/>
        <v>3494.015693609665</v>
      </c>
      <c r="K38" s="1">
        <v>109.1</v>
      </c>
      <c r="M38" s="1">
        <f t="shared" si="17"/>
        <v>105.45249909757202</v>
      </c>
      <c r="N38" s="1">
        <f t="shared" si="18"/>
        <v>112.82992889659357</v>
      </c>
    </row>
    <row r="39" spans="1:14">
      <c r="A39" s="1" t="str">
        <f t="shared" si="11"/>
        <v>incidence_clin_77</v>
      </c>
      <c r="B39" s="1" t="s">
        <v>19</v>
      </c>
      <c r="C39" s="1">
        <v>75</v>
      </c>
      <c r="D39" s="1">
        <f t="shared" si="19"/>
        <v>80</v>
      </c>
      <c r="E39" s="1">
        <f t="shared" si="12"/>
        <v>77</v>
      </c>
      <c r="F39" s="1">
        <v>18871</v>
      </c>
      <c r="G39" s="1">
        <f t="shared" si="13"/>
        <v>2254963.5368899996</v>
      </c>
      <c r="H39" s="1">
        <f t="shared" si="14"/>
        <v>2981.061795768579</v>
      </c>
      <c r="I39" s="1">
        <f t="shared" si="15"/>
        <v>2979.9343140001338</v>
      </c>
      <c r="J39" s="1">
        <f t="shared" si="16"/>
        <v>2982.1892775370247</v>
      </c>
      <c r="K39" s="1">
        <v>132.19999999999999</v>
      </c>
      <c r="L39" s="1">
        <f>SUM(H39:H40)/$H$42</f>
        <v>0.24514861979857369</v>
      </c>
      <c r="M39" s="1">
        <f t="shared" si="17"/>
        <v>127.42849266253278</v>
      </c>
      <c r="N39" s="1">
        <f t="shared" si="18"/>
        <v>137.07498967213519</v>
      </c>
    </row>
    <row r="40" spans="1:14">
      <c r="A40" s="1" t="str">
        <f t="shared" si="11"/>
        <v>incidence_clin_82</v>
      </c>
      <c r="B40" s="1" t="s">
        <v>19</v>
      </c>
      <c r="C40" s="1">
        <v>80</v>
      </c>
      <c r="D40" s="1">
        <f t="shared" si="19"/>
        <v>85</v>
      </c>
      <c r="E40" s="1">
        <f t="shared" si="12"/>
        <v>82</v>
      </c>
      <c r="F40" s="1">
        <v>11241</v>
      </c>
      <c r="G40" s="1">
        <f t="shared" si="13"/>
        <v>1343227.4451899999</v>
      </c>
      <c r="H40" s="1">
        <f t="shared" si="14"/>
        <v>2005.43857566867</v>
      </c>
      <c r="I40" s="1">
        <f t="shared" si="15"/>
        <v>2004.7669619460751</v>
      </c>
      <c r="J40" s="1">
        <f t="shared" si="16"/>
        <v>2006.1101893912653</v>
      </c>
      <c r="K40" s="1">
        <v>149.30000000000001</v>
      </c>
      <c r="M40" s="1">
        <f t="shared" si="17"/>
        <v>142.7680888200511</v>
      </c>
      <c r="N40" s="1">
        <f t="shared" si="18"/>
        <v>156.02337488989809</v>
      </c>
    </row>
    <row r="41" spans="1:14">
      <c r="A41" s="1" t="str">
        <f t="shared" si="11"/>
        <v>incidence_clin_92</v>
      </c>
      <c r="B41" s="1" t="s">
        <v>19</v>
      </c>
      <c r="C41" s="1">
        <v>85</v>
      </c>
      <c r="D41" s="1">
        <v>100</v>
      </c>
      <c r="E41" s="1">
        <f t="shared" si="12"/>
        <v>92</v>
      </c>
      <c r="F41" s="1">
        <v>7435</v>
      </c>
      <c r="G41" s="1">
        <f t="shared" si="13"/>
        <v>888434.84165000007</v>
      </c>
      <c r="H41" s="1">
        <f t="shared" si="14"/>
        <v>1258.9121706180499</v>
      </c>
      <c r="I41" s="1">
        <f t="shared" si="15"/>
        <v>1258.4679531972249</v>
      </c>
      <c r="J41" s="1">
        <f t="shared" si="16"/>
        <v>1259.3563880388751</v>
      </c>
      <c r="K41" s="1">
        <v>141.69999999999999</v>
      </c>
      <c r="L41" s="1">
        <f>H41/H42</f>
        <v>6.1891217905532488E-2</v>
      </c>
      <c r="M41" s="1">
        <f t="shared" si="17"/>
        <v>133.87986472565848</v>
      </c>
      <c r="N41" s="1">
        <f t="shared" si="18"/>
        <v>149.75933097441057</v>
      </c>
    </row>
    <row r="42" spans="1:14">
      <c r="A42" s="1" t="s">
        <v>30</v>
      </c>
      <c r="F42" s="1">
        <f>SUM(F24:F41)</f>
        <v>1000000</v>
      </c>
      <c r="G42" s="1">
        <f>SUM(G24:G41)</f>
        <v>119493589.99999999</v>
      </c>
      <c r="H42" s="1">
        <f>SUM(H24:H41)</f>
        <v>20340.723825140871</v>
      </c>
    </row>
    <row r="43" spans="1:14">
      <c r="A43" s="1" t="s">
        <v>34</v>
      </c>
      <c r="F43" s="3"/>
      <c r="G43" s="1">
        <f>G42/(B19-B18+1)</f>
        <v>23898717.999999996</v>
      </c>
    </row>
    <row r="44" spans="1:14">
      <c r="F44" s="3"/>
    </row>
    <row r="45" spans="1:14">
      <c r="F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targets</vt:lpstr>
      <vt:lpstr>bounds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 Junyi Pi</dc:creator>
  <cp:lastModifiedBy>Selina Junyi Pi</cp:lastModifiedBy>
  <dcterms:created xsi:type="dcterms:W3CDTF">2025-08-15T23:43:48Z</dcterms:created>
  <dcterms:modified xsi:type="dcterms:W3CDTF">2025-09-18T23:32:45Z</dcterms:modified>
</cp:coreProperties>
</file>