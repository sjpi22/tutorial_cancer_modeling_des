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D7D4A166-D8C2-D548-A369-E9103D12B16E}" xr6:coauthVersionLast="47" xr6:coauthVersionMax="47" xr10:uidLastSave="{00000000-0000-0000-0000-000000000000}"/>
  <bookViews>
    <workbookView xWindow="0" yWindow="760" windowWidth="30240" windowHeight="1778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I13" i="1"/>
  <c r="H13" i="1"/>
  <c r="J12" i="1"/>
  <c r="I12" i="1"/>
  <c r="H12" i="1"/>
  <c r="H10" i="1"/>
  <c r="J9" i="1"/>
  <c r="I9" i="1"/>
  <c r="J6" i="1"/>
  <c r="I6" i="1"/>
  <c r="H6" i="1"/>
  <c r="I5" i="1"/>
  <c r="H5" i="1"/>
  <c r="F24" i="1"/>
  <c r="G23" i="1"/>
  <c r="F23" i="1"/>
  <c r="G22" i="1"/>
  <c r="G20" i="1"/>
  <c r="G16" i="1"/>
  <c r="F16" i="1"/>
  <c r="G15" i="1"/>
  <c r="F13" i="1"/>
  <c r="F12" i="1"/>
  <c r="G11" i="1"/>
  <c r="F11" i="1"/>
  <c r="G10" i="1"/>
  <c r="G6" i="1"/>
  <c r="F6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9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9" i="2"/>
  <c r="E9" i="2"/>
  <c r="A24" i="1"/>
  <c r="I24" i="1" s="1"/>
  <c r="A23" i="1"/>
  <c r="I23" i="1" s="1"/>
  <c r="A22" i="1"/>
  <c r="I22" i="1" s="1"/>
  <c r="F21" i="1" l="1"/>
  <c r="G21" i="1"/>
  <c r="I8" i="1"/>
  <c r="I15" i="1"/>
  <c r="J18" i="1"/>
  <c r="J15" i="1"/>
  <c r="H19" i="1"/>
  <c r="F9" i="1"/>
  <c r="F14" i="1"/>
  <c r="F19" i="1"/>
  <c r="G9" i="1"/>
  <c r="G14" i="1"/>
  <c r="G19" i="1"/>
  <c r="J8" i="1"/>
  <c r="F10" i="1"/>
  <c r="F15" i="1"/>
  <c r="F20" i="1"/>
  <c r="F22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4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I2" i="1" l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2" i="1"/>
  <c r="H24" i="1"/>
  <c r="J10" i="2"/>
  <c r="K10" i="2" s="1"/>
  <c r="J11" i="2"/>
  <c r="L11" i="2" s="1"/>
  <c r="J23" i="1" s="1"/>
  <c r="J9" i="2"/>
  <c r="K9" i="2" s="1"/>
  <c r="H23" i="1"/>
  <c r="H4" i="1"/>
  <c r="H3" i="1"/>
  <c r="H2" i="1"/>
  <c r="L10" i="2"/>
  <c r="J22" i="1" s="1"/>
  <c r="J12" i="2"/>
  <c r="L12" i="2" s="1"/>
  <c r="J24" i="1" s="1"/>
  <c r="K12" i="2"/>
  <c r="L8" i="2"/>
  <c r="J3" i="1" s="1"/>
  <c r="K8" i="2"/>
  <c r="J7" i="2"/>
  <c r="L9" i="2" l="1"/>
  <c r="J4" i="1" s="1"/>
  <c r="K11" i="2"/>
  <c r="K7" i="2"/>
  <c r="L7" i="2"/>
  <c r="J2" i="1" s="1"/>
</calcChain>
</file>

<file path=xl/sharedStrings.xml><?xml version="1.0" encoding="utf-8"?>
<sst xmlns="http://schemas.openxmlformats.org/spreadsheetml/2006/main" count="123" uniqueCount="37">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</sst>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K24"/>
  <sheetViews>
    <sheetView tabSelected="1" zoomScale="142" workbookViewId="0">
      <selection activeCell="D17" sqref="D17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1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6</v>
      </c>
    </row>
    <row r="2" spans="1:11">
      <c r="A2" s="1" t="str">
        <f t="shared" ref="A2:A24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1810</v>
      </c>
      <c r="H2" s="2">
        <f>INDEX(bounds!$A$6:$L$1048576,MATCH(targets!$A2,bounds!$A$6:$A$1048576,0), MATCH(H$1,bounds!$6:$6,0))</f>
        <v>5.5248618784530391E-4</v>
      </c>
      <c r="I2" s="2">
        <f>INDEX(bounds!$A$6:$L$1048576,MATCH(targets!$A2,bounds!$A$6:$A$1048576,0), MATCH(I$1,bounds!$6:$6,0))</f>
        <v>9.7534036711855159E-5</v>
      </c>
      <c r="J2" s="2">
        <f>INDEX(bounds!$A$6:$L$1048576,MATCH(targets!$A2,bounds!$A$6:$A$1048576,0), MATCH(J$1,bounds!$6:$6,0))</f>
        <v>3.1229562615372915E-3</v>
      </c>
      <c r="K2" s="1" t="s">
        <v>20</v>
      </c>
    </row>
    <row r="3" spans="1:11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1307</v>
      </c>
      <c r="H3" s="2">
        <f>INDEX(bounds!$A$6:$L$1048576,MATCH(targets!$A3,bounds!$A$6:$A$1048576,0), MATCH(H$1,bounds!$6:$6,0))</f>
        <v>1.530221882172915E-3</v>
      </c>
      <c r="I3" s="2">
        <f>INDEX(bounds!$A$6:$L$1048576,MATCH(targets!$A3,bounds!$A$6:$A$1048576,0), MATCH(I$1,bounds!$6:$6,0))</f>
        <v>4.1974238437163421E-4</v>
      </c>
      <c r="J3" s="2">
        <f>INDEX(bounds!$A$6:$L$1048576,MATCH(targets!$A3,bounds!$A$6:$A$1048576,0), MATCH(J$1,bounds!$6:$6,0))</f>
        <v>5.562261593248006E-3</v>
      </c>
      <c r="K3" s="1" t="s">
        <v>20</v>
      </c>
    </row>
    <row r="4" spans="1:11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5</v>
      </c>
      <c r="G4" s="2">
        <f>INDEX(bounds!$A$6:$L$1048576,MATCH(targets!$A4,bounds!$A$6:$A$1048576,0), MATCH(G$1,bounds!$6:$6,0))</f>
        <v>418</v>
      </c>
      <c r="H4" s="2">
        <f>INDEX(bounds!$A$6:$L$1048576,MATCH(targets!$A4,bounds!$A$6:$A$1048576,0), MATCH(H$1,bounds!$6:$6,0))</f>
        <v>1.1961722488038277E-2</v>
      </c>
      <c r="I4" s="2">
        <f>INDEX(bounds!$A$6:$L$1048576,MATCH(targets!$A4,bounds!$A$6:$A$1048576,0), MATCH(I$1,bounds!$6:$6,0))</f>
        <v>5.1198596930172122E-3</v>
      </c>
      <c r="J4" s="2">
        <f>INDEX(bounds!$A$6:$L$1048576,MATCH(targets!$A4,bounds!$A$6:$A$1048576,0), MATCH(J$1,bounds!$6:$6,0))</f>
        <v>2.7692132896306509E-2</v>
      </c>
      <c r="K4" s="1" t="s">
        <v>20</v>
      </c>
    </row>
    <row r="5" spans="1:11">
      <c r="A5" s="1" t="str">
        <f t="shared" ref="A5:A10" si="2">""&amp;B5&amp;"_"&amp;E5</f>
        <v>incidence_clin_2</v>
      </c>
      <c r="B5" s="1" t="s">
        <v>19</v>
      </c>
      <c r="C5" s="1">
        <v>0</v>
      </c>
      <c r="D5" s="1">
        <f t="shared" ref="D5" si="3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1" t="s">
        <v>21</v>
      </c>
    </row>
    <row r="6" spans="1:11">
      <c r="A6" s="1" t="str">
        <f t="shared" si="2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1" t="s">
        <v>21</v>
      </c>
    </row>
    <row r="7" spans="1:11">
      <c r="A7" s="1" t="str">
        <f t="shared" si="2"/>
        <v>incidence_clin_12</v>
      </c>
      <c r="B7" s="1" t="s">
        <v>19</v>
      </c>
      <c r="C7" s="1">
        <v>10</v>
      </c>
      <c r="D7" s="1">
        <f t="shared" ref="D7:D20" si="4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1" t="s">
        <v>21</v>
      </c>
    </row>
    <row r="8" spans="1:11">
      <c r="A8" s="1" t="str">
        <f t="shared" si="2"/>
        <v>incidence_clin_17</v>
      </c>
      <c r="B8" s="1" t="s">
        <v>19</v>
      </c>
      <c r="C8" s="1">
        <v>15</v>
      </c>
      <c r="D8" s="1">
        <f t="shared" si="4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1" t="s">
        <v>21</v>
      </c>
    </row>
    <row r="9" spans="1:11">
      <c r="A9" s="1" t="str">
        <f t="shared" si="2"/>
        <v>incidence_clin_22</v>
      </c>
      <c r="B9" s="1" t="s">
        <v>19</v>
      </c>
      <c r="C9" s="1">
        <v>20</v>
      </c>
      <c r="D9" s="1">
        <f t="shared" si="4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1" t="s">
        <v>21</v>
      </c>
    </row>
    <row r="10" spans="1:11">
      <c r="A10" s="1" t="str">
        <f t="shared" si="2"/>
        <v>incidence_clin_27</v>
      </c>
      <c r="B10" s="1" t="s">
        <v>19</v>
      </c>
      <c r="C10" s="1">
        <v>25</v>
      </c>
      <c r="D10" s="1">
        <f t="shared" si="4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1" t="s">
        <v>21</v>
      </c>
    </row>
    <row r="11" spans="1:11">
      <c r="A11" s="1" t="str">
        <f t="shared" ref="A11:A21" si="5">""&amp;B11&amp;"_"&amp;E11</f>
        <v>incidence_clin_32</v>
      </c>
      <c r="B11" s="1" t="s">
        <v>19</v>
      </c>
      <c r="C11" s="1">
        <v>30</v>
      </c>
      <c r="D11" s="1">
        <f t="shared" si="4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1" t="s">
        <v>21</v>
      </c>
    </row>
    <row r="12" spans="1:11">
      <c r="A12" s="1" t="str">
        <f t="shared" si="5"/>
        <v>incidence_clin_37</v>
      </c>
      <c r="B12" s="1" t="s">
        <v>19</v>
      </c>
      <c r="C12" s="1">
        <v>35</v>
      </c>
      <c r="D12" s="1">
        <f t="shared" si="4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1" t="s">
        <v>21</v>
      </c>
    </row>
    <row r="13" spans="1:11">
      <c r="A13" s="1" t="str">
        <f t="shared" si="5"/>
        <v>incidence_clin_42</v>
      </c>
      <c r="B13" s="1" t="s">
        <v>19</v>
      </c>
      <c r="C13" s="1">
        <v>40</v>
      </c>
      <c r="D13" s="1">
        <f t="shared" si="4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1" t="s">
        <v>21</v>
      </c>
    </row>
    <row r="14" spans="1:11">
      <c r="A14" s="1" t="str">
        <f t="shared" si="5"/>
        <v>incidence_clin_47</v>
      </c>
      <c r="B14" s="1" t="s">
        <v>19</v>
      </c>
      <c r="C14" s="1">
        <v>45</v>
      </c>
      <c r="D14" s="1">
        <f t="shared" si="4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1" t="s">
        <v>21</v>
      </c>
    </row>
    <row r="15" spans="1:11">
      <c r="A15" s="1" t="str">
        <f t="shared" si="5"/>
        <v>incidence_clin_52</v>
      </c>
      <c r="B15" s="1" t="s">
        <v>19</v>
      </c>
      <c r="C15" s="1">
        <v>50</v>
      </c>
      <c r="D15" s="1">
        <f t="shared" si="4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1" t="s">
        <v>21</v>
      </c>
    </row>
    <row r="16" spans="1:11">
      <c r="A16" s="1" t="str">
        <f t="shared" si="5"/>
        <v>incidence_clin_57</v>
      </c>
      <c r="B16" s="1" t="s">
        <v>19</v>
      </c>
      <c r="C16" s="1">
        <v>55</v>
      </c>
      <c r="D16" s="1">
        <f t="shared" si="4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1" t="s">
        <v>21</v>
      </c>
    </row>
    <row r="17" spans="1:11">
      <c r="A17" s="1" t="str">
        <f t="shared" si="5"/>
        <v>incidence_clin_62</v>
      </c>
      <c r="B17" s="1" t="s">
        <v>19</v>
      </c>
      <c r="C17" s="1">
        <v>60</v>
      </c>
      <c r="D17" s="1">
        <f t="shared" si="4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1" t="s">
        <v>21</v>
      </c>
    </row>
    <row r="18" spans="1:11">
      <c r="A18" s="1" t="str">
        <f t="shared" si="5"/>
        <v>incidence_clin_67</v>
      </c>
      <c r="B18" s="1" t="s">
        <v>19</v>
      </c>
      <c r="C18" s="1">
        <v>65</v>
      </c>
      <c r="D18" s="1">
        <f t="shared" si="4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1" t="s">
        <v>21</v>
      </c>
    </row>
    <row r="19" spans="1:11">
      <c r="A19" s="1" t="str">
        <f t="shared" si="5"/>
        <v>incidence_clin_72</v>
      </c>
      <c r="B19" s="1" t="s">
        <v>19</v>
      </c>
      <c r="C19" s="1">
        <v>70</v>
      </c>
      <c r="D19" s="1">
        <f t="shared" si="4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1" t="s">
        <v>21</v>
      </c>
    </row>
    <row r="20" spans="1:11">
      <c r="A20" s="1" t="str">
        <f t="shared" si="5"/>
        <v>incidence_clin_77</v>
      </c>
      <c r="B20" s="1" t="s">
        <v>19</v>
      </c>
      <c r="C20" s="1">
        <v>75</v>
      </c>
      <c r="D20" s="1">
        <f t="shared" si="4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1" t="s">
        <v>21</v>
      </c>
    </row>
    <row r="21" spans="1:11">
      <c r="A21" s="1" t="str">
        <f t="shared" si="5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1" t="s">
        <v>21</v>
      </c>
    </row>
    <row r="22" spans="1:11">
      <c r="A22" s="1" t="str">
        <f t="shared" si="0"/>
        <v>stage_distr_1</v>
      </c>
      <c r="B22" s="1" t="s">
        <v>8</v>
      </c>
      <c r="E22" s="1">
        <v>1</v>
      </c>
      <c r="F22" s="2">
        <f>INDEX(bounds!$A$6:$L$1048576,MATCH(targets!$A22,bounds!$A$6:$A$1048576,0), MATCH(F$1,bounds!$6:$6,0))</f>
        <v>21522.9</v>
      </c>
      <c r="G22" s="2">
        <f>INDEX(bounds!$A$6:$L$1048576,MATCH(targets!$A22,bounds!$A$6:$A$1048576,0), MATCH(G$1,bounds!$6:$6,0))</f>
        <v>27630.75</v>
      </c>
      <c r="H22" s="2">
        <f>INDEX(bounds!$A$6:$L$1048576,MATCH(targets!$A22,bounds!$A$6:$A$1048576,0), MATCH(H$1,bounds!$6:$6,0))</f>
        <v>0.77894736842105272</v>
      </c>
      <c r="I22" s="2">
        <f>INDEX(bounds!$A$6:$L$1048576,MATCH(targets!$A22,bounds!$A$6:$A$1048576,0), MATCH(I$1,bounds!$6:$6,0))</f>
        <v>0.77401602151958493</v>
      </c>
      <c r="J22" s="2">
        <f>INDEX(bounds!$A$6:$L$1048576,MATCH(targets!$A22,bounds!$A$6:$A$1048576,0), MATCH(J$1,bounds!$6:$6,0))</f>
        <v>0.78380116289475799</v>
      </c>
      <c r="K22" s="1" t="s">
        <v>21</v>
      </c>
    </row>
    <row r="23" spans="1:11">
      <c r="A23" s="1" t="str">
        <f t="shared" si="0"/>
        <v>stage_distr_2</v>
      </c>
      <c r="B23" s="1" t="s">
        <v>8</v>
      </c>
      <c r="E23" s="1">
        <v>2</v>
      </c>
      <c r="F23" s="2">
        <f>INDEX(bounds!$A$6:$L$1048576,MATCH(targets!$A23,bounds!$A$6:$A$1048576,0), MATCH(F$1,bounds!$6:$6,0))</f>
        <v>5235.3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0.18947368421052632</v>
      </c>
      <c r="I23" s="2">
        <f>INDEX(bounds!$A$6:$L$1048576,MATCH(targets!$A23,bounds!$A$6:$A$1048576,0), MATCH(I$1,bounds!$6:$6,0))</f>
        <v>0.18489624853500833</v>
      </c>
      <c r="J23" s="2">
        <f>INDEX(bounds!$A$6:$L$1048576,MATCH(targets!$A23,bounds!$A$6:$A$1048576,0), MATCH(J$1,bounds!$6:$6,0))</f>
        <v>0.19413745183393108</v>
      </c>
      <c r="K23" s="1" t="s">
        <v>21</v>
      </c>
    </row>
    <row r="24" spans="1:11">
      <c r="A24" s="1" t="str">
        <f t="shared" si="0"/>
        <v>stage_distr_3</v>
      </c>
      <c r="B24" s="1" t="s">
        <v>8</v>
      </c>
      <c r="E24" s="1">
        <v>3</v>
      </c>
      <c r="F24" s="2">
        <f>INDEX(bounds!$A$6:$L$1048576,MATCH(targets!$A24,bounds!$A$6:$A$1048576,0), MATCH(F$1,bounds!$6:$6,0))</f>
        <v>872.55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3.1578947368421054E-2</v>
      </c>
      <c r="I24" s="2">
        <f>INDEX(bounds!$A$6:$L$1048576,MATCH(targets!$A24,bounds!$A$6:$A$1048576,0), MATCH(I$1,bounds!$6:$6,0))</f>
        <v>2.9581205871892616E-2</v>
      </c>
      <c r="J24" s="2">
        <f>INDEX(bounds!$A$6:$L$1048576,MATCH(targets!$A24,bounds!$A$6:$A$1048576,0), MATCH(J$1,bounds!$6:$6,0))</f>
        <v>3.3706918413456612E-2</v>
      </c>
      <c r="K24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M26" sqref="M26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2025-09-19T19:43:09Z</dcterms:modified>
</cp:coreProperties>
</file>