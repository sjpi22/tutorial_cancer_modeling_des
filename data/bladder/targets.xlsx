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linapi/Repositories/tutorial_cancer_modeling_des/data/bladder/"/>
    </mc:Choice>
  </mc:AlternateContent>
  <xr:revisionPtr revIDLastSave="0" documentId="13_ncr:1_{75045E89-4340-AB47-892F-71806E546AC6}" xr6:coauthVersionLast="47" xr6:coauthVersionMax="47" xr10:uidLastSave="{00000000-0000-0000-0000-000000000000}"/>
  <bookViews>
    <workbookView xWindow="15120" yWindow="760" windowWidth="15120" windowHeight="17780" xr2:uid="{A45334B4-46D3-3441-9F0C-EDD51E1C869C}"/>
  </bookViews>
  <sheets>
    <sheet name="targets" sheetId="1" r:id="rId1"/>
    <sheet name="bound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G11" i="2"/>
  <c r="G10" i="2"/>
  <c r="H12" i="2"/>
  <c r="H11" i="2"/>
  <c r="H10" i="2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5" i="1"/>
  <c r="A10" i="1"/>
  <c r="A9" i="1"/>
  <c r="A8" i="1"/>
  <c r="A7" i="1"/>
  <c r="D6" i="1"/>
  <c r="A6" i="1"/>
  <c r="A5" i="1"/>
  <c r="I9" i="2"/>
  <c r="E9" i="2"/>
  <c r="A9" i="2" s="1"/>
  <c r="A35" i="1"/>
  <c r="A34" i="1"/>
  <c r="A33" i="1"/>
  <c r="A32" i="1"/>
  <c r="D25" i="1" l="1"/>
  <c r="E25" i="1" s="1"/>
  <c r="A25" i="1" s="1"/>
  <c r="I12" i="2"/>
  <c r="I11" i="2"/>
  <c r="I10" i="2"/>
  <c r="D26" i="1"/>
  <c r="E26" i="1" s="1"/>
  <c r="A26" i="1" s="1"/>
  <c r="D27" i="1"/>
  <c r="E27" i="1" s="1"/>
  <c r="A27" i="1" s="1"/>
  <c r="D28" i="1"/>
  <c r="E28" i="1" s="1"/>
  <c r="A28" i="1" s="1"/>
  <c r="D29" i="1"/>
  <c r="E29" i="1" s="1"/>
  <c r="A29" i="1" s="1"/>
  <c r="D30" i="1"/>
  <c r="E30" i="1" s="1"/>
  <c r="A30" i="1" s="1"/>
  <c r="E31" i="1"/>
  <c r="A31" i="1" s="1"/>
  <c r="I8" i="2"/>
  <c r="I7" i="2"/>
  <c r="E8" i="2"/>
  <c r="A8" i="2" s="1"/>
  <c r="E7" i="2"/>
  <c r="A7" i="2" s="1"/>
  <c r="F35" i="1" s="1"/>
  <c r="B4" i="2"/>
  <c r="J8" i="2" s="1"/>
  <c r="E4" i="1"/>
  <c r="A4" i="1" s="1"/>
  <c r="E3" i="1"/>
  <c r="A3" i="1" s="1"/>
  <c r="E2" i="1"/>
  <c r="A2" i="1" s="1"/>
  <c r="F32" i="1" l="1"/>
  <c r="F34" i="1"/>
  <c r="J10" i="2"/>
  <c r="J11" i="2"/>
  <c r="L11" i="2" s="1"/>
  <c r="H33" i="1" s="1"/>
  <c r="J9" i="2"/>
  <c r="K9" i="2" s="1"/>
  <c r="H35" i="1"/>
  <c r="H32" i="1"/>
  <c r="F33" i="1"/>
  <c r="F4" i="1"/>
  <c r="G4" i="1"/>
  <c r="F3" i="1"/>
  <c r="F2" i="1"/>
  <c r="L10" i="2"/>
  <c r="J12" i="2"/>
  <c r="L12" i="2" s="1"/>
  <c r="H34" i="1" s="1"/>
  <c r="K12" i="2"/>
  <c r="G34" i="1" s="1"/>
  <c r="K10" i="2"/>
  <c r="G32" i="1" s="1"/>
  <c r="G35" i="1"/>
  <c r="L8" i="2"/>
  <c r="H3" i="1" s="1"/>
  <c r="K8" i="2"/>
  <c r="G3" i="1" s="1"/>
  <c r="J7" i="2"/>
  <c r="L9" i="2" l="1"/>
  <c r="H4" i="1" s="1"/>
  <c r="K11" i="2"/>
  <c r="G33" i="1" s="1"/>
  <c r="K7" i="2"/>
  <c r="G2" i="1" s="1"/>
  <c r="L7" i="2"/>
  <c r="H2" i="1" s="1"/>
</calcChain>
</file>

<file path=xl/sharedStrings.xml><?xml version="1.0" encoding="utf-8"?>
<sst xmlns="http://schemas.openxmlformats.org/spreadsheetml/2006/main" count="69" uniqueCount="27">
  <si>
    <t>target_names</t>
  </si>
  <si>
    <t>target_groups</t>
  </si>
  <si>
    <t>targets</t>
  </si>
  <si>
    <t>age_start</t>
  </si>
  <si>
    <t>age_end</t>
  </si>
  <si>
    <t>target_index</t>
  </si>
  <si>
    <t>prevalence</t>
  </si>
  <si>
    <t>source</t>
  </si>
  <si>
    <t>target_labels</t>
  </si>
  <si>
    <t>stage_distr_1</t>
  </si>
  <si>
    <t>stage_distr</t>
  </si>
  <si>
    <t>stage_distr_2</t>
  </si>
  <si>
    <t>stage_distr_3</t>
  </si>
  <si>
    <t>MISCAN targets</t>
  </si>
  <si>
    <t>ci_lb</t>
  </si>
  <si>
    <t>ci_ub</t>
  </si>
  <si>
    <t>n_total</t>
  </si>
  <si>
    <t>n_cases</t>
  </si>
  <si>
    <t>Alpha</t>
  </si>
  <si>
    <t>zcrit</t>
  </si>
  <si>
    <t>Source: https://real-statistics.com/binomial-and-related-distributions/proportion-distribution/proportion-parameter-confidence-interval/</t>
  </si>
  <si>
    <t>u</t>
  </si>
  <si>
    <t>Calculations for Wilson score confidence intervals for binomial proportion</t>
  </si>
  <si>
    <t>prevalence_preclin</t>
  </si>
  <si>
    <t>incidence_clin</t>
  </si>
  <si>
    <t>Suen et al. 1970</t>
  </si>
  <si>
    <t>SEER Cancer Statistics Review 1973-1994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</si>
</sst>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C086-A524-D44D-8D0D-4CA59B33056E}">
  <dimension ref="A1:I35"/>
  <sheetViews>
    <sheetView tabSelected="1" workbookViewId="0">
      <selection activeCell="I36" sqref="I36"/>
    </sheetView>
  </sheetViews>
  <sheetFormatPr baseColWidth="10" defaultRowHeight="16" x14ac:dyDescent="0.2"/>
  <cols>
    <col min="1" max="1" width="25.33203125" style="1" customWidth="1"/>
    <col min="2" max="2" width="16.5" style="1" customWidth="1"/>
    <col min="3" max="16384" width="10.83203125" style="1"/>
  </cols>
  <sheetData>
    <row r="1" spans="1:9" x14ac:dyDescent="0.2">
      <c r="A1" s="2" t="s">
        <v>0</v>
      </c>
      <c r="B1" s="2" t="s">
        <v>1</v>
      </c>
      <c r="C1" s="2" t="s">
        <v>3</v>
      </c>
      <c r="D1" s="2" t="s">
        <v>4</v>
      </c>
      <c r="E1" s="2" t="s">
        <v>5</v>
      </c>
      <c r="F1" s="2" t="s">
        <v>2</v>
      </c>
      <c r="G1" s="2" t="s">
        <v>14</v>
      </c>
      <c r="H1" s="2" t="s">
        <v>15</v>
      </c>
      <c r="I1" s="2" t="s">
        <v>7</v>
      </c>
    </row>
    <row r="2" spans="1:9" x14ac:dyDescent="0.2">
      <c r="A2" s="1" t="str">
        <f t="shared" ref="A2:A35" si="0">""&amp;B2&amp;"_"&amp;E2</f>
        <v>prevalence_preclin_71</v>
      </c>
      <c r="B2" s="2" t="s">
        <v>23</v>
      </c>
      <c r="C2" s="2">
        <v>66</v>
      </c>
      <c r="D2" s="2">
        <v>76</v>
      </c>
      <c r="E2" s="1">
        <f t="shared" ref="E2:E4" si="1">FLOOR(AVERAGE(C2,D2), 1)</f>
        <v>71</v>
      </c>
      <c r="F2" s="2">
        <f>INDEX(bounds!$A$6:$L$1048576,MATCH(targets!$A2,bounds!$A$6:$A$1048576,0), MATCH(F$1,bounds!$6:$6,0))</f>
        <v>5.5248618784530391E-4</v>
      </c>
      <c r="G2" s="2">
        <f>INDEX(bounds!$A$6:$L$1048576,MATCH(targets!$A2,bounds!$A$6:$A$1048576,0), MATCH(G$1,bounds!$6:$6,0))</f>
        <v>9.7534036711855159E-5</v>
      </c>
      <c r="H2" s="2">
        <f>INDEX(bounds!$A$6:$L$1048576,MATCH(targets!$A2,bounds!$A$6:$A$1048576,0), MATCH(H$1,bounds!$6:$6,0))</f>
        <v>3.1229562615372915E-3</v>
      </c>
      <c r="I2" s="1" t="s">
        <v>25</v>
      </c>
    </row>
    <row r="3" spans="1:9" x14ac:dyDescent="0.2">
      <c r="A3" s="1" t="str">
        <f t="shared" si="0"/>
        <v>prevalence_preclin_80</v>
      </c>
      <c r="B3" s="2" t="s">
        <v>23</v>
      </c>
      <c r="C3" s="2">
        <v>76</v>
      </c>
      <c r="D3" s="2">
        <v>85</v>
      </c>
      <c r="E3" s="1">
        <f t="shared" si="1"/>
        <v>80</v>
      </c>
      <c r="F3" s="2">
        <f>INDEX(bounds!$A$6:$L$1048576,MATCH(targets!$A3,bounds!$A$6:$A$1048576,0), MATCH(F$1,bounds!$6:$6,0))</f>
        <v>1.530221882172915E-3</v>
      </c>
      <c r="G3" s="2">
        <f>INDEX(bounds!$A$6:$L$1048576,MATCH(targets!$A3,bounds!$A$6:$A$1048576,0), MATCH(G$1,bounds!$6:$6,0))</f>
        <v>4.1974238437163421E-4</v>
      </c>
      <c r="H3" s="2">
        <f>INDEX(bounds!$A$6:$L$1048576,MATCH(targets!$A3,bounds!$A$6:$A$1048576,0), MATCH(H$1,bounds!$6:$6,0))</f>
        <v>5.562261593248006E-3</v>
      </c>
      <c r="I3" s="1" t="s">
        <v>25</v>
      </c>
    </row>
    <row r="4" spans="1:9" x14ac:dyDescent="0.2">
      <c r="A4" s="1" t="str">
        <f t="shared" si="0"/>
        <v>prevalence_preclin_90</v>
      </c>
      <c r="B4" s="2" t="s">
        <v>23</v>
      </c>
      <c r="C4" s="2">
        <v>85</v>
      </c>
      <c r="D4" s="2">
        <v>95</v>
      </c>
      <c r="E4" s="1">
        <f t="shared" si="1"/>
        <v>90</v>
      </c>
      <c r="F4" s="2">
        <f>INDEX(bounds!$A$6:$L$1048576,MATCH(targets!$A4,bounds!$A$6:$A$1048576,0), MATCH(F$1,bounds!$6:$6,0))</f>
        <v>1.1961722488038277E-2</v>
      </c>
      <c r="G4" s="2">
        <f>INDEX(bounds!$A$6:$L$1048576,MATCH(targets!$A4,bounds!$A$6:$A$1048576,0), MATCH(G$1,bounds!$6:$6,0))</f>
        <v>5.1198596930172122E-3</v>
      </c>
      <c r="H4" s="2">
        <f>INDEX(bounds!$A$6:$L$1048576,MATCH(targets!$A4,bounds!$A$6:$A$1048576,0), MATCH(H$1,bounds!$6:$6,0))</f>
        <v>2.7692132896306509E-2</v>
      </c>
      <c r="I4" s="1" t="s">
        <v>25</v>
      </c>
    </row>
    <row r="5" spans="1:9" x14ac:dyDescent="0.2">
      <c r="A5" s="1" t="str">
        <f t="shared" ref="A5:A10" si="2">""&amp;B5&amp;"_"&amp;E5</f>
        <v>incidence_clin_</v>
      </c>
      <c r="B5" s="1" t="s">
        <v>24</v>
      </c>
      <c r="C5" s="1">
        <v>0</v>
      </c>
      <c r="D5" s="1">
        <f t="shared" ref="D5:D22" si="3">C6</f>
        <v>5</v>
      </c>
      <c r="F5" s="2"/>
      <c r="G5" s="2"/>
      <c r="H5" s="2"/>
      <c r="I5" s="1" t="s">
        <v>26</v>
      </c>
    </row>
    <row r="6" spans="1:9" x14ac:dyDescent="0.2">
      <c r="A6" s="1" t="str">
        <f t="shared" si="2"/>
        <v>incidence_clin_</v>
      </c>
      <c r="B6" s="1" t="s">
        <v>24</v>
      </c>
      <c r="C6" s="1">
        <v>5</v>
      </c>
      <c r="D6" s="1">
        <f>C7</f>
        <v>10</v>
      </c>
      <c r="F6" s="2"/>
      <c r="G6" s="2"/>
      <c r="H6" s="2"/>
    </row>
    <row r="7" spans="1:9" x14ac:dyDescent="0.2">
      <c r="A7" s="1" t="str">
        <f t="shared" si="2"/>
        <v>incidence_clin_</v>
      </c>
      <c r="B7" s="1" t="s">
        <v>24</v>
      </c>
      <c r="C7" s="1">
        <v>10</v>
      </c>
      <c r="D7" s="1">
        <f t="shared" ref="D7:D22" si="4">C8</f>
        <v>15</v>
      </c>
      <c r="F7" s="2"/>
      <c r="G7" s="2"/>
      <c r="H7" s="2"/>
    </row>
    <row r="8" spans="1:9" x14ac:dyDescent="0.2">
      <c r="A8" s="1" t="str">
        <f t="shared" si="2"/>
        <v>incidence_clin_</v>
      </c>
      <c r="B8" s="1" t="s">
        <v>24</v>
      </c>
      <c r="C8" s="1">
        <v>15</v>
      </c>
      <c r="D8" s="1">
        <f t="shared" si="4"/>
        <v>20</v>
      </c>
      <c r="F8" s="2"/>
      <c r="G8" s="2"/>
      <c r="H8" s="2"/>
    </row>
    <row r="9" spans="1:9" x14ac:dyDescent="0.2">
      <c r="A9" s="1" t="str">
        <f t="shared" si="2"/>
        <v>incidence_clin_</v>
      </c>
      <c r="B9" s="1" t="s">
        <v>24</v>
      </c>
      <c r="C9" s="1">
        <v>20</v>
      </c>
      <c r="D9" s="1">
        <f t="shared" si="4"/>
        <v>25</v>
      </c>
      <c r="F9" s="2"/>
      <c r="G9" s="2"/>
      <c r="H9" s="2"/>
    </row>
    <row r="10" spans="1:9" x14ac:dyDescent="0.2">
      <c r="A10" s="1" t="str">
        <f t="shared" si="2"/>
        <v>incidence_clin_</v>
      </c>
      <c r="B10" s="1" t="s">
        <v>24</v>
      </c>
      <c r="C10" s="1">
        <v>25</v>
      </c>
      <c r="D10" s="1">
        <f t="shared" si="4"/>
        <v>30</v>
      </c>
      <c r="F10" s="2"/>
      <c r="G10" s="2"/>
      <c r="H10" s="2"/>
    </row>
    <row r="11" spans="1:9" x14ac:dyDescent="0.2">
      <c r="C11" s="1">
        <v>30</v>
      </c>
      <c r="D11" s="1">
        <f t="shared" si="4"/>
        <v>35</v>
      </c>
      <c r="F11" s="2"/>
      <c r="G11" s="2"/>
      <c r="H11" s="2"/>
    </row>
    <row r="12" spans="1:9" x14ac:dyDescent="0.2">
      <c r="C12" s="1">
        <v>35</v>
      </c>
      <c r="D12" s="1">
        <f t="shared" si="4"/>
        <v>40</v>
      </c>
      <c r="F12" s="2"/>
      <c r="G12" s="2"/>
      <c r="H12" s="2"/>
    </row>
    <row r="13" spans="1:9" x14ac:dyDescent="0.2">
      <c r="C13" s="1">
        <v>40</v>
      </c>
      <c r="D13" s="1">
        <f t="shared" si="4"/>
        <v>45</v>
      </c>
      <c r="F13" s="2"/>
      <c r="G13" s="2"/>
      <c r="H13" s="2"/>
    </row>
    <row r="14" spans="1:9" x14ac:dyDescent="0.2">
      <c r="C14" s="1">
        <v>45</v>
      </c>
      <c r="D14" s="1">
        <f t="shared" si="4"/>
        <v>50</v>
      </c>
      <c r="F14" s="2"/>
      <c r="G14" s="2"/>
      <c r="H14" s="2"/>
    </row>
    <row r="15" spans="1:9" x14ac:dyDescent="0.2">
      <c r="C15" s="1">
        <v>50</v>
      </c>
      <c r="D15" s="1">
        <f t="shared" si="4"/>
        <v>55</v>
      </c>
      <c r="F15" s="2"/>
      <c r="G15" s="2"/>
      <c r="H15" s="2"/>
    </row>
    <row r="16" spans="1:9" x14ac:dyDescent="0.2">
      <c r="C16" s="1">
        <v>55</v>
      </c>
      <c r="D16" s="1">
        <f t="shared" si="4"/>
        <v>60</v>
      </c>
      <c r="F16" s="2"/>
      <c r="G16" s="2"/>
      <c r="H16" s="2"/>
    </row>
    <row r="17" spans="1:9" x14ac:dyDescent="0.2">
      <c r="C17" s="1">
        <v>60</v>
      </c>
      <c r="D17" s="1">
        <f t="shared" si="4"/>
        <v>65</v>
      </c>
      <c r="F17" s="2"/>
      <c r="G17" s="2"/>
      <c r="H17" s="2"/>
    </row>
    <row r="18" spans="1:9" x14ac:dyDescent="0.2">
      <c r="C18" s="1">
        <v>65</v>
      </c>
      <c r="D18" s="1">
        <f t="shared" si="4"/>
        <v>70</v>
      </c>
      <c r="F18" s="2"/>
      <c r="G18" s="2"/>
      <c r="H18" s="2"/>
    </row>
    <row r="19" spans="1:9" x14ac:dyDescent="0.2">
      <c r="C19" s="1">
        <v>70</v>
      </c>
      <c r="D19" s="1">
        <f t="shared" si="4"/>
        <v>75</v>
      </c>
      <c r="F19" s="2"/>
      <c r="G19" s="2"/>
      <c r="H19" s="2"/>
    </row>
    <row r="20" spans="1:9" x14ac:dyDescent="0.2">
      <c r="C20" s="1">
        <v>75</v>
      </c>
      <c r="D20" s="1">
        <f t="shared" si="4"/>
        <v>80</v>
      </c>
      <c r="F20" s="2"/>
      <c r="G20" s="2"/>
      <c r="H20" s="2"/>
    </row>
    <row r="21" spans="1:9" x14ac:dyDescent="0.2">
      <c r="C21" s="1">
        <v>80</v>
      </c>
      <c r="D21" s="1">
        <f t="shared" si="4"/>
        <v>85</v>
      </c>
    </row>
    <row r="22" spans="1:9" x14ac:dyDescent="0.2">
      <c r="C22" s="1">
        <v>85</v>
      </c>
      <c r="D22" s="1">
        <f t="shared" si="4"/>
        <v>0</v>
      </c>
    </row>
    <row r="25" spans="1:9" x14ac:dyDescent="0.2">
      <c r="A25" s="1" t="str">
        <f t="shared" si="0"/>
        <v>incidence_clin_30</v>
      </c>
      <c r="B25" s="1" t="s">
        <v>24</v>
      </c>
      <c r="D25" s="1">
        <f>C26</f>
        <v>30</v>
      </c>
      <c r="E25" s="1">
        <f t="shared" ref="E25" si="5">FLOOR(AVERAGE(C25,D25), 1)</f>
        <v>30</v>
      </c>
      <c r="F25" s="1">
        <v>0.81499999999999995</v>
      </c>
      <c r="G25" s="1">
        <v>0.61499999999999999</v>
      </c>
      <c r="H25" s="1">
        <v>1.0549999999999999</v>
      </c>
      <c r="I25" s="1" t="s">
        <v>13</v>
      </c>
    </row>
    <row r="26" spans="1:9" x14ac:dyDescent="0.2">
      <c r="A26" s="1" t="str">
        <f t="shared" si="0"/>
        <v>incidence_clin_35</v>
      </c>
      <c r="B26" s="1" t="s">
        <v>24</v>
      </c>
      <c r="C26" s="1">
        <v>30</v>
      </c>
      <c r="D26" s="1">
        <f>C27</f>
        <v>40</v>
      </c>
      <c r="E26" s="1">
        <f t="shared" ref="E26" si="6">FLOOR(AVERAGE(C26,D26), 1)</f>
        <v>35</v>
      </c>
      <c r="F26" s="1">
        <v>4.1520000000000001</v>
      </c>
      <c r="G26" s="1">
        <v>3.6070000000000002</v>
      </c>
      <c r="H26" s="1">
        <v>4.7519999999999998</v>
      </c>
      <c r="I26" s="1" t="s">
        <v>13</v>
      </c>
    </row>
    <row r="27" spans="1:9" x14ac:dyDescent="0.2">
      <c r="A27" s="1" t="str">
        <f t="shared" si="0"/>
        <v>incidence_clin_45</v>
      </c>
      <c r="B27" s="1" t="s">
        <v>24</v>
      </c>
      <c r="C27" s="1">
        <v>40</v>
      </c>
      <c r="D27" s="1">
        <f t="shared" ref="D27:D30" si="7">C28</f>
        <v>50</v>
      </c>
      <c r="E27" s="1">
        <f t="shared" ref="E27:E31" si="8">FLOOR(AVERAGE(C27,D27), 1)</f>
        <v>45</v>
      </c>
      <c r="F27" s="1">
        <v>20.667999999999999</v>
      </c>
      <c r="G27" s="1">
        <v>19.263999999999999</v>
      </c>
      <c r="H27" s="1">
        <v>22.140999999999998</v>
      </c>
      <c r="I27" s="1" t="s">
        <v>13</v>
      </c>
    </row>
    <row r="28" spans="1:9" x14ac:dyDescent="0.2">
      <c r="A28" s="1" t="str">
        <f t="shared" si="0"/>
        <v>incidence_clin_55</v>
      </c>
      <c r="B28" s="1" t="s">
        <v>24</v>
      </c>
      <c r="C28" s="1">
        <v>50</v>
      </c>
      <c r="D28" s="1">
        <f t="shared" si="7"/>
        <v>60</v>
      </c>
      <c r="E28" s="1">
        <f t="shared" si="8"/>
        <v>55</v>
      </c>
      <c r="F28" s="1">
        <v>69.337999999999994</v>
      </c>
      <c r="G28" s="1">
        <v>66.747</v>
      </c>
      <c r="H28" s="1">
        <v>71.998999999999995</v>
      </c>
      <c r="I28" s="1" t="s">
        <v>13</v>
      </c>
    </row>
    <row r="29" spans="1:9" x14ac:dyDescent="0.2">
      <c r="A29" s="1" t="str">
        <f t="shared" si="0"/>
        <v>incidence_clin_65</v>
      </c>
      <c r="B29" s="1" t="s">
        <v>24</v>
      </c>
      <c r="C29" s="1">
        <v>60</v>
      </c>
      <c r="D29" s="1">
        <f t="shared" si="7"/>
        <v>70</v>
      </c>
      <c r="E29" s="1">
        <f t="shared" si="8"/>
        <v>65</v>
      </c>
      <c r="F29" s="1">
        <v>166.136</v>
      </c>
      <c r="G29" s="1">
        <v>161.41399999999999</v>
      </c>
      <c r="H29" s="1">
        <v>170.952</v>
      </c>
      <c r="I29" s="1" t="s">
        <v>13</v>
      </c>
    </row>
    <row r="30" spans="1:9" x14ac:dyDescent="0.2">
      <c r="A30" s="1" t="str">
        <f t="shared" si="0"/>
        <v>incidence_clin_75</v>
      </c>
      <c r="B30" s="1" t="s">
        <v>24</v>
      </c>
      <c r="C30" s="1">
        <v>70</v>
      </c>
      <c r="D30" s="1">
        <f t="shared" si="7"/>
        <v>80</v>
      </c>
      <c r="E30" s="1">
        <f t="shared" si="8"/>
        <v>75</v>
      </c>
      <c r="F30" s="1">
        <v>309.19900000000001</v>
      </c>
      <c r="G30" s="1">
        <v>300.73399999999998</v>
      </c>
      <c r="H30" s="1">
        <v>317.83</v>
      </c>
      <c r="I30" s="1" t="s">
        <v>13</v>
      </c>
    </row>
    <row r="31" spans="1:9" x14ac:dyDescent="0.2">
      <c r="A31" s="1" t="str">
        <f t="shared" si="0"/>
        <v>incidence_clin_90</v>
      </c>
      <c r="B31" s="1" t="s">
        <v>24</v>
      </c>
      <c r="C31" s="1">
        <v>80</v>
      </c>
      <c r="D31" s="1">
        <v>100</v>
      </c>
      <c r="E31" s="1">
        <f t="shared" si="8"/>
        <v>90</v>
      </c>
      <c r="F31" s="1">
        <v>428.28899999999999</v>
      </c>
      <c r="G31" s="1">
        <v>413.87099999999998</v>
      </c>
      <c r="H31" s="1">
        <v>443.053</v>
      </c>
      <c r="I31" s="1" t="s">
        <v>13</v>
      </c>
    </row>
    <row r="32" spans="1:9" x14ac:dyDescent="0.2">
      <c r="A32" s="1" t="str">
        <f t="shared" si="0"/>
        <v>stage_distr_1</v>
      </c>
      <c r="B32" s="1" t="s">
        <v>10</v>
      </c>
      <c r="E32" s="1">
        <v>1</v>
      </c>
      <c r="F32" s="2">
        <f>INDEX(bounds!$A$6:$L$1048576,MATCH(targets!$A32,bounds!$A$6:$A$1048576,0), MATCH(F$1,bounds!$6:$6,0))</f>
        <v>0.77894736842105272</v>
      </c>
      <c r="G32" s="2">
        <f>INDEX(bounds!$A$6:$L$1048576,MATCH(targets!$A32,bounds!$A$6:$A$1048576,0), MATCH(G$1,bounds!$6:$6,0))</f>
        <v>0.77401602151958493</v>
      </c>
      <c r="H32" s="2">
        <f>INDEX(bounds!$A$6:$L$1048576,MATCH(targets!$A32,bounds!$A$6:$A$1048576,0), MATCH(H$1,bounds!$6:$6,0))</f>
        <v>0.78380116289475799</v>
      </c>
      <c r="I32" s="1" t="s">
        <v>26</v>
      </c>
    </row>
    <row r="33" spans="1:9" x14ac:dyDescent="0.2">
      <c r="A33" s="1" t="str">
        <f t="shared" si="0"/>
        <v>stage_distr_2</v>
      </c>
      <c r="B33" s="1" t="s">
        <v>10</v>
      </c>
      <c r="E33" s="1">
        <v>2</v>
      </c>
      <c r="F33" s="2">
        <f>INDEX(bounds!$A$6:$L$1048576,MATCH(targets!$A33,bounds!$A$6:$A$1048576,0), MATCH(F$1,bounds!$6:$6,0))</f>
        <v>0.18947368421052632</v>
      </c>
      <c r="G33" s="2">
        <f>INDEX(bounds!$A$6:$L$1048576,MATCH(targets!$A33,bounds!$A$6:$A$1048576,0), MATCH(G$1,bounds!$6:$6,0))</f>
        <v>0.18489624853500833</v>
      </c>
      <c r="H33" s="2">
        <f>INDEX(bounds!$A$6:$L$1048576,MATCH(targets!$A33,bounds!$A$6:$A$1048576,0), MATCH(H$1,bounds!$6:$6,0))</f>
        <v>0.19413745183393108</v>
      </c>
      <c r="I33" s="1" t="s">
        <v>26</v>
      </c>
    </row>
    <row r="34" spans="1:9" x14ac:dyDescent="0.2">
      <c r="A34" s="1" t="str">
        <f t="shared" si="0"/>
        <v>stage_distr_3</v>
      </c>
      <c r="B34" s="1" t="s">
        <v>10</v>
      </c>
      <c r="E34" s="1">
        <v>3</v>
      </c>
      <c r="F34" s="2">
        <f>INDEX(bounds!$A$6:$L$1048576,MATCH(targets!$A34,bounds!$A$6:$A$1048576,0), MATCH(F$1,bounds!$6:$6,0))</f>
        <v>3.1578947368421054E-2</v>
      </c>
      <c r="G34" s="2">
        <f>INDEX(bounds!$A$6:$L$1048576,MATCH(targets!$A34,bounds!$A$6:$A$1048576,0), MATCH(G$1,bounds!$6:$6,0))</f>
        <v>2.9581205871892616E-2</v>
      </c>
      <c r="H34" s="2">
        <f>INDEX(bounds!$A$6:$L$1048576,MATCH(targets!$A34,bounds!$A$6:$A$1048576,0), MATCH(H$1,bounds!$6:$6,0))</f>
        <v>3.3706918413456612E-2</v>
      </c>
      <c r="I34" s="1" t="s">
        <v>26</v>
      </c>
    </row>
    <row r="35" spans="1:9" x14ac:dyDescent="0.2">
      <c r="A35" s="1" t="str">
        <f t="shared" si="0"/>
        <v>stage_distr_4</v>
      </c>
      <c r="B35" s="1" t="s">
        <v>10</v>
      </c>
      <c r="E35" s="1">
        <v>4</v>
      </c>
      <c r="F35" s="2" t="e">
        <f>INDEX(bounds!$A$6:$L$1048576,MATCH(targets!$A35,bounds!$A$6:$A$1048576,0), MATCH(F$1,bounds!$6:$6,0))</f>
        <v>#N/A</v>
      </c>
      <c r="G35" s="2" t="e">
        <f>INDEX(bounds!$A$6:$L$1048576,MATCH(targets!$A35,bounds!$A$6:$A$1048576,0), MATCH(G$1,bounds!$6:$6,0))</f>
        <v>#N/A</v>
      </c>
      <c r="H35" s="2" t="e">
        <f>INDEX(bounds!$A$6:$L$1048576,MATCH(targets!$A35,bounds!$A$6:$A$1048576,0), MATCH(H$1,bounds!$6:$6,0))</f>
        <v>#N/A</v>
      </c>
      <c r="I35" s="1" t="s">
        <v>13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831A2-898F-7F45-AC2C-D0D6D35A5E8A}">
  <dimension ref="A1:L12"/>
  <sheetViews>
    <sheetView workbookViewId="0">
      <selection activeCell="J10" sqref="J10"/>
    </sheetView>
  </sheetViews>
  <sheetFormatPr baseColWidth="10" defaultRowHeight="16" x14ac:dyDescent="0.2"/>
  <cols>
    <col min="1" max="16384" width="10.83203125" style="1"/>
  </cols>
  <sheetData>
    <row r="1" spans="1:12" x14ac:dyDescent="0.2">
      <c r="A1" s="1" t="s">
        <v>22</v>
      </c>
    </row>
    <row r="2" spans="1:12" x14ac:dyDescent="0.2">
      <c r="A2" s="1" t="s">
        <v>20</v>
      </c>
    </row>
    <row r="3" spans="1:12" x14ac:dyDescent="0.2">
      <c r="A3" s="1" t="s">
        <v>18</v>
      </c>
      <c r="B3" s="1">
        <v>0.05</v>
      </c>
    </row>
    <row r="4" spans="1:12" x14ac:dyDescent="0.2">
      <c r="A4" s="1" t="s">
        <v>19</v>
      </c>
      <c r="B4" s="1">
        <f>_xlfn.NORM.S.INV(1-B3/2)</f>
        <v>1.9599639845400536</v>
      </c>
    </row>
    <row r="6" spans="1:12" x14ac:dyDescent="0.2">
      <c r="A6" s="1" t="s">
        <v>0</v>
      </c>
      <c r="B6" s="1" t="s">
        <v>1</v>
      </c>
      <c r="C6" s="1" t="s">
        <v>3</v>
      </c>
      <c r="D6" s="1" t="s">
        <v>4</v>
      </c>
      <c r="E6" s="1" t="s">
        <v>5</v>
      </c>
      <c r="F6" s="1" t="s">
        <v>8</v>
      </c>
      <c r="G6" s="1" t="s">
        <v>16</v>
      </c>
      <c r="H6" s="1" t="s">
        <v>17</v>
      </c>
      <c r="I6" s="1" t="s">
        <v>2</v>
      </c>
      <c r="J6" s="1" t="s">
        <v>21</v>
      </c>
      <c r="K6" s="1" t="s">
        <v>14</v>
      </c>
      <c r="L6" s="1" t="s">
        <v>15</v>
      </c>
    </row>
    <row r="7" spans="1:12" x14ac:dyDescent="0.2">
      <c r="A7" s="1" t="str">
        <f>"prevalence_preclin_"&amp;E7</f>
        <v>prevalence_preclin_71</v>
      </c>
      <c r="B7" s="1" t="s">
        <v>6</v>
      </c>
      <c r="C7" s="2">
        <v>66</v>
      </c>
      <c r="D7" s="2">
        <v>76</v>
      </c>
      <c r="E7" s="1">
        <f t="shared" ref="E7:E9" si="0">FLOOR(AVERAGE(C7,D7), 1)</f>
        <v>71</v>
      </c>
      <c r="G7" s="1">
        <v>1810</v>
      </c>
      <c r="H7" s="1">
        <v>1</v>
      </c>
      <c r="I7" s="1">
        <f>H7/G7</f>
        <v>5.5248618784530391E-4</v>
      </c>
      <c r="J7" s="1">
        <f t="shared" ref="J7:J9" si="1">$B$4^2/G7</f>
        <v>2.1223529396100132E-3</v>
      </c>
      <c r="K7" s="1">
        <f t="shared" ref="K7:K9" si="2">(I7+J7/2)/(J7+1)-$B$4/(J7+1)*SQRT(I7*(1-I7)/G7+J7/(4*G7))</f>
        <v>9.7534036711855159E-5</v>
      </c>
      <c r="L7" s="1">
        <f t="shared" ref="L7:L9" si="3">(I7+J7/2)/(J7+1)+$B$4/(J7+1)*SQRT(I7*(1-I7)/G7+J7/(4*G7))</f>
        <v>3.1229562615372915E-3</v>
      </c>
    </row>
    <row r="8" spans="1:12" x14ac:dyDescent="0.2">
      <c r="A8" s="1" t="str">
        <f t="shared" ref="A8:A9" si="4">"prevalence_preclin_"&amp;E8</f>
        <v>prevalence_preclin_80</v>
      </c>
      <c r="B8" s="1" t="s">
        <v>6</v>
      </c>
      <c r="C8" s="2">
        <v>76</v>
      </c>
      <c r="D8" s="2">
        <v>85</v>
      </c>
      <c r="E8" s="1">
        <f t="shared" si="0"/>
        <v>80</v>
      </c>
      <c r="G8" s="1">
        <v>1307</v>
      </c>
      <c r="H8" s="1">
        <v>2</v>
      </c>
      <c r="I8" s="1">
        <f t="shared" ref="I8:I9" si="5">H8/G8</f>
        <v>1.530221882172915E-3</v>
      </c>
      <c r="J8" s="1">
        <f t="shared" si="1"/>
        <v>2.9391421734461542E-3</v>
      </c>
      <c r="K8" s="1">
        <f t="shared" si="2"/>
        <v>4.1974238437163421E-4</v>
      </c>
      <c r="L8" s="1">
        <f t="shared" si="3"/>
        <v>5.562261593248006E-3</v>
      </c>
    </row>
    <row r="9" spans="1:12" x14ac:dyDescent="0.2">
      <c r="A9" s="1" t="str">
        <f t="shared" si="4"/>
        <v>prevalence_preclin_90</v>
      </c>
      <c r="B9" s="1" t="s">
        <v>6</v>
      </c>
      <c r="C9" s="2">
        <v>85</v>
      </c>
      <c r="D9" s="2">
        <v>95</v>
      </c>
      <c r="E9" s="1">
        <f t="shared" si="0"/>
        <v>90</v>
      </c>
      <c r="G9" s="1">
        <v>418</v>
      </c>
      <c r="H9" s="1">
        <v>5</v>
      </c>
      <c r="I9" s="1">
        <f t="shared" si="5"/>
        <v>1.1961722488038277E-2</v>
      </c>
      <c r="J9" s="1">
        <f t="shared" si="1"/>
        <v>9.1900928724739806E-3</v>
      </c>
      <c r="K9" s="1">
        <f t="shared" si="2"/>
        <v>5.1198596930172122E-3</v>
      </c>
      <c r="L9" s="1">
        <f t="shared" si="3"/>
        <v>2.7692132896306509E-2</v>
      </c>
    </row>
    <row r="10" spans="1:12" x14ac:dyDescent="0.2">
      <c r="A10" s="1" t="s">
        <v>9</v>
      </c>
      <c r="B10" s="1" t="s">
        <v>10</v>
      </c>
      <c r="E10" s="1">
        <v>1</v>
      </c>
      <c r="G10" s="1">
        <f>29085*0.95</f>
        <v>27630.75</v>
      </c>
      <c r="H10" s="1">
        <f>0.74*29085</f>
        <v>21522.9</v>
      </c>
      <c r="I10" s="1">
        <f t="shared" ref="I10:I12" si="6">H10/G10</f>
        <v>0.77894736842105272</v>
      </c>
      <c r="J10" s="1">
        <f t="shared" ref="J10:J12" si="7">$B$4^2/G10</f>
        <v>1.3902839483887058E-4</v>
      </c>
      <c r="K10" s="1">
        <f t="shared" ref="K10:K12" si="8">(I10+J10/2)/(J10+1)-$B$4/(J10+1)*SQRT(I10*(1-I10)/G10+J10/(4*G10))</f>
        <v>0.77401602151958493</v>
      </c>
      <c r="L10" s="1">
        <f t="shared" ref="L10:L12" si="9">(I10+J10/2)/(J10+1)+$B$4/(J10+1)*SQRT(I10*(1-I10)/G10+J10/(4*G10))</f>
        <v>0.78380116289475799</v>
      </c>
    </row>
    <row r="11" spans="1:12" x14ac:dyDescent="0.2">
      <c r="A11" s="1" t="s">
        <v>11</v>
      </c>
      <c r="B11" s="1" t="s">
        <v>10</v>
      </c>
      <c r="E11" s="1">
        <v>2</v>
      </c>
      <c r="G11" s="1">
        <f t="shared" ref="G11:G12" si="10">29085*0.95</f>
        <v>27630.75</v>
      </c>
      <c r="H11" s="1">
        <f>0.18*29085</f>
        <v>5235.3</v>
      </c>
      <c r="I11" s="1">
        <f t="shared" si="6"/>
        <v>0.18947368421052632</v>
      </c>
      <c r="J11" s="1">
        <f t="shared" si="7"/>
        <v>1.3902839483887058E-4</v>
      </c>
      <c r="K11" s="1">
        <f t="shared" si="8"/>
        <v>0.18489624853500833</v>
      </c>
      <c r="L11" s="1">
        <f t="shared" si="9"/>
        <v>0.19413745183393108</v>
      </c>
    </row>
    <row r="12" spans="1:12" x14ac:dyDescent="0.2">
      <c r="A12" s="1" t="s">
        <v>12</v>
      </c>
      <c r="B12" s="1" t="s">
        <v>10</v>
      </c>
      <c r="E12" s="1">
        <v>3</v>
      </c>
      <c r="G12" s="1">
        <f t="shared" si="10"/>
        <v>27630.75</v>
      </c>
      <c r="H12" s="1">
        <f>0.03*29085</f>
        <v>872.55</v>
      </c>
      <c r="I12" s="1">
        <f t="shared" si="6"/>
        <v>3.1578947368421054E-2</v>
      </c>
      <c r="J12" s="1">
        <f t="shared" si="7"/>
        <v>1.3902839483887058E-4</v>
      </c>
      <c r="K12" s="1">
        <f t="shared" si="8"/>
        <v>2.9581205871892616E-2</v>
      </c>
      <c r="L12" s="1">
        <f t="shared" si="9"/>
        <v>3.3706918413456612E-2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targets</vt:lpstr>
      <vt:lpstr>bounds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Selina Junyi Pi</dc:creator>
  <cp:lastModifiedBy>Selina Junyi Pi</cp:lastModifiedBy>
  <dcterms:created xsi:type="dcterms:W3CDTF">2025-08-15T23:43:48Z</dcterms:created>
  <dcterms:modified xsi:type="dcterms:W3CDTF">2025-09-13T20:25:49Z</dcterms:modified>
</cp:coreProperties>
</file>