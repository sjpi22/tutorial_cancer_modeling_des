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3B3BFD7F-F004-8045-857B-507258A20D5D}" xr6:coauthVersionLast="47" xr6:coauthVersionMax="47" xr10:uidLastSave="{00000000-0000-0000-0000-000000000000}"/>
  <bookViews>
    <workbookView xWindow="0" yWindow="760" windowWidth="30240" windowHeight="17740" activeTab="1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2" l="1"/>
  <c r="N25" i="2"/>
  <c r="J26" i="2"/>
  <c r="J25" i="2"/>
  <c r="J24" i="2"/>
  <c r="N24" i="2" s="1"/>
  <c r="I32" i="2"/>
  <c r="M32" i="2" s="1"/>
  <c r="I26" i="2"/>
  <c r="M26" i="2" s="1"/>
  <c r="I25" i="2"/>
  <c r="M25" i="2" s="1"/>
  <c r="I24" i="2"/>
  <c r="M24" i="2" s="1"/>
  <c r="A32" i="2"/>
  <c r="A24" i="2"/>
  <c r="A12" i="2"/>
  <c r="A11" i="2"/>
  <c r="A10" i="2"/>
  <c r="E32" i="2"/>
  <c r="E27" i="2"/>
  <c r="A27" i="2" s="1"/>
  <c r="E26" i="2"/>
  <c r="A26" i="2" s="1"/>
  <c r="E25" i="2"/>
  <c r="A25" i="2" s="1"/>
  <c r="E24" i="2"/>
  <c r="G32" i="2"/>
  <c r="H32" i="2" s="1"/>
  <c r="G31" i="2"/>
  <c r="H31" i="2" s="1"/>
  <c r="G30" i="2"/>
  <c r="J30" i="2" s="1"/>
  <c r="N30" i="2" s="1"/>
  <c r="G29" i="2"/>
  <c r="I29" i="2" s="1"/>
  <c r="M29" i="2" s="1"/>
  <c r="G28" i="2"/>
  <c r="I28" i="2" s="1"/>
  <c r="M28" i="2" s="1"/>
  <c r="G27" i="2"/>
  <c r="H27" i="2" s="1"/>
  <c r="G26" i="2"/>
  <c r="H26" i="2" s="1"/>
  <c r="G25" i="2"/>
  <c r="H25" i="2" s="1"/>
  <c r="G24" i="2"/>
  <c r="H24" i="2" s="1"/>
  <c r="F33" i="2"/>
  <c r="D31" i="2"/>
  <c r="E31" i="2" s="1"/>
  <c r="A31" i="2" s="1"/>
  <c r="D30" i="2"/>
  <c r="E30" i="2" s="1"/>
  <c r="A30" i="2" s="1"/>
  <c r="D29" i="2"/>
  <c r="E29" i="2" s="1"/>
  <c r="A29" i="2" s="1"/>
  <c r="D28" i="2"/>
  <c r="E28" i="2" s="1"/>
  <c r="A28" i="2" s="1"/>
  <c r="D27" i="2"/>
  <c r="D26" i="2"/>
  <c r="D25" i="2"/>
  <c r="D24" i="2"/>
  <c r="E13" i="1"/>
  <c r="A13" i="1" s="1"/>
  <c r="G12" i="2"/>
  <c r="G11" i="2"/>
  <c r="G10" i="2"/>
  <c r="H12" i="2"/>
  <c r="H11" i="2"/>
  <c r="H10" i="2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E7" i="1" s="1"/>
  <c r="A7" i="1" s="1"/>
  <c r="D6" i="1"/>
  <c r="E6" i="1" s="1"/>
  <c r="A6" i="1" s="1"/>
  <c r="D5" i="1"/>
  <c r="E5" i="1" s="1"/>
  <c r="A5" i="1" s="1"/>
  <c r="G5" i="1" s="1"/>
  <c r="I9" i="2"/>
  <c r="E9" i="2"/>
  <c r="A9" i="2" s="1"/>
  <c r="A16" i="1"/>
  <c r="A15" i="1"/>
  <c r="A14" i="1"/>
  <c r="F6" i="1" l="1"/>
  <c r="H7" i="1"/>
  <c r="J8" i="1"/>
  <c r="G12" i="1"/>
  <c r="I30" i="2"/>
  <c r="M30" i="2" s="1"/>
  <c r="J31" i="2"/>
  <c r="N31" i="2" s="1"/>
  <c r="I31" i="2"/>
  <c r="M31" i="2" s="1"/>
  <c r="J32" i="2"/>
  <c r="N32" i="2" s="1"/>
  <c r="H28" i="2"/>
  <c r="J27" i="2"/>
  <c r="N27" i="2" s="1"/>
  <c r="J9" i="1"/>
  <c r="J13" i="1"/>
  <c r="H29" i="2"/>
  <c r="F10" i="1" s="1"/>
  <c r="I27" i="2"/>
  <c r="M27" i="2" s="1"/>
  <c r="J28" i="2"/>
  <c r="N28" i="2" s="1"/>
  <c r="I10" i="1"/>
  <c r="H30" i="2"/>
  <c r="J29" i="2"/>
  <c r="N29" i="2" s="1"/>
  <c r="F11" i="1"/>
  <c r="G6" i="1"/>
  <c r="G11" i="1"/>
  <c r="F12" i="1"/>
  <c r="I7" i="1"/>
  <c r="J10" i="1"/>
  <c r="J7" i="1"/>
  <c r="H11" i="1"/>
  <c r="H8" i="1"/>
  <c r="I11" i="1"/>
  <c r="F13" i="1"/>
  <c r="F8" i="1"/>
  <c r="F16" i="1"/>
  <c r="H5" i="1"/>
  <c r="I8" i="1"/>
  <c r="J11" i="1"/>
  <c r="G13" i="1"/>
  <c r="G8" i="1"/>
  <c r="I5" i="1"/>
  <c r="H12" i="1"/>
  <c r="F7" i="1"/>
  <c r="I12" i="1"/>
  <c r="F9" i="1"/>
  <c r="J5" i="1"/>
  <c r="H9" i="1"/>
  <c r="G9" i="1"/>
  <c r="H6" i="1"/>
  <c r="I9" i="1"/>
  <c r="J12" i="1"/>
  <c r="F5" i="1"/>
  <c r="I6" i="1"/>
  <c r="H13" i="1"/>
  <c r="G10" i="1"/>
  <c r="J6" i="1"/>
  <c r="H10" i="1"/>
  <c r="I13" i="1"/>
  <c r="G7" i="1"/>
  <c r="G15" i="1"/>
  <c r="F14" i="1"/>
  <c r="H33" i="2"/>
  <c r="G33" i="2"/>
  <c r="G34" i="2" s="1"/>
  <c r="I12" i="2"/>
  <c r="I11" i="2"/>
  <c r="I10" i="2"/>
  <c r="I8" i="2"/>
  <c r="I7" i="2"/>
  <c r="E8" i="2"/>
  <c r="A8" i="2" s="1"/>
  <c r="E7" i="2"/>
  <c r="A7" i="2" s="1"/>
  <c r="B4" i="2"/>
  <c r="J8" i="2" s="1"/>
  <c r="E4" i="1"/>
  <c r="A4" i="1" s="1"/>
  <c r="E3" i="1"/>
  <c r="A3" i="1" s="1"/>
  <c r="E2" i="1"/>
  <c r="A2" i="1" s="1"/>
  <c r="G14" i="1" l="1"/>
  <c r="F15" i="1"/>
  <c r="G16" i="1"/>
  <c r="G2" i="1"/>
  <c r="F2" i="1"/>
  <c r="G3" i="1"/>
  <c r="F3" i="1"/>
  <c r="I4" i="1"/>
  <c r="G4" i="1"/>
  <c r="F4" i="1"/>
  <c r="L24" i="2"/>
  <c r="L32" i="2"/>
  <c r="L30" i="2"/>
  <c r="L28" i="2"/>
  <c r="L26" i="2"/>
  <c r="H14" i="1"/>
  <c r="H16" i="1"/>
  <c r="J10" i="2"/>
  <c r="K10" i="2" s="1"/>
  <c r="I14" i="1" s="1"/>
  <c r="J11" i="2"/>
  <c r="L11" i="2" s="1"/>
  <c r="J15" i="1" s="1"/>
  <c r="J9" i="2"/>
  <c r="K9" i="2" s="1"/>
  <c r="H15" i="1"/>
  <c r="H4" i="1"/>
  <c r="H3" i="1"/>
  <c r="H2" i="1"/>
  <c r="J12" i="2"/>
  <c r="L12" i="2" s="1"/>
  <c r="J16" i="1" s="1"/>
  <c r="L8" i="2"/>
  <c r="J3" i="1" s="1"/>
  <c r="K8" i="2"/>
  <c r="I3" i="1" s="1"/>
  <c r="J7" i="2"/>
  <c r="L10" i="2" l="1"/>
  <c r="J14" i="1" s="1"/>
  <c r="K12" i="2"/>
  <c r="I16" i="1" s="1"/>
  <c r="L9" i="2"/>
  <c r="J4" i="1" s="1"/>
  <c r="K11" i="2"/>
  <c r="I15" i="1" s="1"/>
  <c r="K7" i="2"/>
  <c r="I2" i="1" s="1"/>
  <c r="L7" i="2"/>
  <c r="J2" i="1" s="1"/>
</calcChain>
</file>

<file path=xl/sharedStrings.xml><?xml version="1.0" encoding="utf-8"?>
<sst xmlns="http://schemas.openxmlformats.org/spreadsheetml/2006/main" count="98" uniqueCount="37">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</sst>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K16"/>
  <sheetViews>
    <sheetView zoomScale="142" workbookViewId="0"/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1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6</v>
      </c>
    </row>
    <row r="2" spans="1:11">
      <c r="A2" s="1" t="str">
        <f t="shared" ref="A2:A16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13" si="1">FLOOR(AVERAGE(C2,D2), 1)</f>
        <v>71</v>
      </c>
      <c r="F2" s="2">
        <f>INDEX(bounds!$A$6:$L$1048576,MATCH(targets!$A2,bounds!$A$6:$A$1048576,0), MATCH(F$1,bounds!$6:$6,0))</f>
        <v>1</v>
      </c>
      <c r="G2" s="2">
        <f>INDEX(bounds!$A$6:$L$1048576,MATCH(targets!$A2,bounds!$A$6:$A$1048576,0), MATCH(G$1,bounds!$6:$6,0))</f>
        <v>1810</v>
      </c>
      <c r="H2" s="2">
        <f>INDEX(bounds!$A$6:$L$1048576,MATCH(targets!$A2,bounds!$A$6:$A$1048576,0), MATCH(H$1,bounds!$6:$6,0))</f>
        <v>5.5248618784530391E-4</v>
      </c>
      <c r="I2" s="2">
        <f>INDEX(bounds!$A$6:$L$1048576,MATCH(targets!$A2,bounds!$A$6:$A$1048576,0), MATCH(I$1,bounds!$6:$6,0))</f>
        <v>9.7534036711855159E-5</v>
      </c>
      <c r="J2" s="2">
        <f>INDEX(bounds!$A$6:$L$1048576,MATCH(targets!$A2,bounds!$A$6:$A$1048576,0), MATCH(J$1,bounds!$6:$6,0))</f>
        <v>3.1229562615372915E-3</v>
      </c>
      <c r="K2" s="1" t="s">
        <v>20</v>
      </c>
    </row>
    <row r="3" spans="1:11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2</v>
      </c>
      <c r="G3" s="2">
        <f>INDEX(bounds!$A$6:$L$1048576,MATCH(targets!$A3,bounds!$A$6:$A$1048576,0), MATCH(G$1,bounds!$6:$6,0))</f>
        <v>1307</v>
      </c>
      <c r="H3" s="2">
        <f>INDEX(bounds!$A$6:$L$1048576,MATCH(targets!$A3,bounds!$A$6:$A$1048576,0), MATCH(H$1,bounds!$6:$6,0))</f>
        <v>1.530221882172915E-3</v>
      </c>
      <c r="I3" s="2">
        <f>INDEX(bounds!$A$6:$L$1048576,MATCH(targets!$A3,bounds!$A$6:$A$1048576,0), MATCH(I$1,bounds!$6:$6,0))</f>
        <v>4.1974238437163421E-4</v>
      </c>
      <c r="J3" s="2">
        <f>INDEX(bounds!$A$6:$L$1048576,MATCH(targets!$A3,bounds!$A$6:$A$1048576,0), MATCH(J$1,bounds!$6:$6,0))</f>
        <v>5.562261593248006E-3</v>
      </c>
      <c r="K3" s="1" t="s">
        <v>20</v>
      </c>
    </row>
    <row r="4" spans="1:11">
      <c r="A4" s="1" t="str">
        <f t="shared" si="0"/>
        <v>prevalence_preclin_90</v>
      </c>
      <c r="B4" s="2" t="s">
        <v>18</v>
      </c>
      <c r="C4" s="2">
        <v>85</v>
      </c>
      <c r="D4" s="2">
        <v>95</v>
      </c>
      <c r="E4" s="1">
        <f t="shared" si="1"/>
        <v>90</v>
      </c>
      <c r="F4" s="2">
        <f>INDEX(bounds!$A$6:$L$1048576,MATCH(targets!$A4,bounds!$A$6:$A$1048576,0), MATCH(F$1,bounds!$6:$6,0))</f>
        <v>5</v>
      </c>
      <c r="G4" s="2">
        <f>INDEX(bounds!$A$6:$L$1048576,MATCH(targets!$A4,bounds!$A$6:$A$1048576,0), MATCH(G$1,bounds!$6:$6,0))</f>
        <v>418</v>
      </c>
      <c r="H4" s="2">
        <f>INDEX(bounds!$A$6:$L$1048576,MATCH(targets!$A4,bounds!$A$6:$A$1048576,0), MATCH(H$1,bounds!$6:$6,0))</f>
        <v>1.1961722488038277E-2</v>
      </c>
      <c r="I4" s="2">
        <f>INDEX(bounds!$A$6:$L$1048576,MATCH(targets!$A4,bounds!$A$6:$A$1048576,0), MATCH(I$1,bounds!$6:$6,0))</f>
        <v>5.1198596930172122E-3</v>
      </c>
      <c r="J4" s="2">
        <f>INDEX(bounds!$A$6:$L$1048576,MATCH(targets!$A4,bounds!$A$6:$A$1048576,0), MATCH(J$1,bounds!$6:$6,0))</f>
        <v>2.7692132896306509E-2</v>
      </c>
      <c r="K4" s="1" t="s">
        <v>20</v>
      </c>
    </row>
    <row r="5" spans="1:11">
      <c r="A5" s="1" t="str">
        <f t="shared" ref="A5:A13" si="2">""&amp;B5&amp;"_"&amp;E5</f>
        <v>incidence_clin_47</v>
      </c>
      <c r="B5" s="1" t="s">
        <v>19</v>
      </c>
      <c r="C5" s="1">
        <v>45</v>
      </c>
      <c r="D5" s="1">
        <f t="shared" ref="D5:D12" si="3">C6</f>
        <v>50</v>
      </c>
      <c r="E5" s="1">
        <f t="shared" si="1"/>
        <v>47</v>
      </c>
      <c r="F5" s="2">
        <f>INDEX(bounds!$23:$32,MATCH(targets!$A5,bounds!$A$23:$A$32,0), MATCH(F$1,bounds!$23:$23,0))</f>
        <v>676.82244818309994</v>
      </c>
      <c r="G5" s="2">
        <f>INDEX(bounds!$23:$32,MATCH(targets!$A5,bounds!$A$23:$A$32,0), MATCH(G$1,bounds!$23:$23,0))</f>
        <v>7124446.8229799997</v>
      </c>
      <c r="H5" s="2">
        <f>INDEX(bounds!$23:$32,MATCH(targets!$A5,bounds!$A$23:$A$32,0), MATCH(H$1,bounds!$23:$23,0))</f>
        <v>9.5</v>
      </c>
      <c r="I5" s="2">
        <f>INDEX(bounds!$23:$32,MATCH(targets!$A5,bounds!$A$23:$A$32,0), MATCH(I$1,bounds!$23:$23,0))</f>
        <v>8.7460518806358838</v>
      </c>
      <c r="J5" s="2">
        <f>INDEX(bounds!$23:$32,MATCH(targets!$A5,bounds!$A$23:$A$32,0), MATCH(J$1,bounds!$23:$23,0))</f>
        <v>10.289748213803048</v>
      </c>
      <c r="K5" s="1" t="s">
        <v>21</v>
      </c>
    </row>
    <row r="6" spans="1:11">
      <c r="A6" s="1" t="str">
        <f t="shared" si="2"/>
        <v>incidence_clin_52</v>
      </c>
      <c r="B6" s="1" t="s">
        <v>19</v>
      </c>
      <c r="C6" s="1">
        <v>50</v>
      </c>
      <c r="D6" s="1">
        <f t="shared" si="3"/>
        <v>55</v>
      </c>
      <c r="E6" s="1">
        <f t="shared" si="1"/>
        <v>52</v>
      </c>
      <c r="F6" s="2">
        <f>INDEX(bounds!$23:$32,MATCH(targets!$A6,bounds!$A$23:$A$32,0), MATCH(F$1,bounds!$23:$23,0))</f>
        <v>1207.9553240984499</v>
      </c>
      <c r="G6" s="2">
        <f>INDEX(bounds!$23:$32,MATCH(targets!$A6,bounds!$A$23:$A$32,0), MATCH(G$1,bounds!$23:$23,0))</f>
        <v>6529488.2383699995</v>
      </c>
      <c r="H6" s="2">
        <f>INDEX(bounds!$23:$32,MATCH(targets!$A6,bounds!$A$23:$A$32,0), MATCH(H$1,bounds!$23:$23,0))</f>
        <v>18.5</v>
      </c>
      <c r="I6" s="2">
        <f>INDEX(bounds!$23:$32,MATCH(targets!$A6,bounds!$A$23:$A$32,0), MATCH(I$1,bounds!$23:$23,0))</f>
        <v>17.419890817649691</v>
      </c>
      <c r="J6" s="2">
        <f>INDEX(bounds!$23:$32,MATCH(targets!$A6,bounds!$A$23:$A$32,0), MATCH(J$1,bounds!$23:$23,0))</f>
        <v>19.621383584718842</v>
      </c>
      <c r="K6" s="1" t="s">
        <v>21</v>
      </c>
    </row>
    <row r="7" spans="1:11">
      <c r="A7" s="1" t="str">
        <f t="shared" si="2"/>
        <v>incidence_clin_57</v>
      </c>
      <c r="B7" s="1" t="s">
        <v>19</v>
      </c>
      <c r="C7" s="1">
        <v>55</v>
      </c>
      <c r="D7" s="1">
        <f t="shared" si="3"/>
        <v>60</v>
      </c>
      <c r="E7" s="1">
        <f t="shared" si="1"/>
        <v>57</v>
      </c>
      <c r="F7" s="2">
        <f>INDEX(bounds!$23:$32,MATCH(targets!$A7,bounds!$A$23:$A$32,0), MATCH(F$1,bounds!$23:$23,0))</f>
        <v>2011.48471233549</v>
      </c>
      <c r="G7" s="2">
        <f>INDEX(bounds!$23:$32,MATCH(targets!$A7,bounds!$A$23:$A$32,0), MATCH(G$1,bounds!$23:$23,0))</f>
        <v>5864386.9164300002</v>
      </c>
      <c r="H7" s="2">
        <f>INDEX(bounds!$23:$32,MATCH(targets!$A7,bounds!$A$23:$A$32,0), MATCH(H$1,bounds!$23:$23,0))</f>
        <v>34.299999999999997</v>
      </c>
      <c r="I7" s="2">
        <f>INDEX(bounds!$23:$32,MATCH(targets!$A7,bounds!$A$23:$A$32,0), MATCH(I$1,bounds!$23:$23,0))</f>
        <v>32.767494120937265</v>
      </c>
      <c r="J7" s="2">
        <f>INDEX(bounds!$23:$32,MATCH(targets!$A7,bounds!$A$23:$A$32,0), MATCH(J$1,bounds!$23:$23,0))</f>
        <v>35.876275809580278</v>
      </c>
      <c r="K7" s="1" t="s">
        <v>21</v>
      </c>
    </row>
    <row r="8" spans="1:11">
      <c r="A8" s="1" t="str">
        <f t="shared" si="2"/>
        <v>incidence_clin_62</v>
      </c>
      <c r="B8" s="1" t="s">
        <v>19</v>
      </c>
      <c r="C8" s="1">
        <v>60</v>
      </c>
      <c r="D8" s="1">
        <f t="shared" si="3"/>
        <v>65</v>
      </c>
      <c r="E8" s="1">
        <f t="shared" si="1"/>
        <v>62</v>
      </c>
      <c r="F8" s="2">
        <f>INDEX(bounds!$23:$32,MATCH(targets!$A8,bounds!$A$23:$A$32,0), MATCH(F$1,bounds!$23:$23,0))</f>
        <v>2680.3830625913301</v>
      </c>
      <c r="G8" s="2">
        <f>INDEX(bounds!$23:$32,MATCH(targets!$A8,bounds!$A$23:$A$32,0), MATCH(G$1,bounds!$23:$23,0))</f>
        <v>5066886.6967700003</v>
      </c>
      <c r="H8" s="2">
        <f>INDEX(bounds!$23:$32,MATCH(targets!$A8,bounds!$A$23:$A$32,0), MATCH(H$1,bounds!$23:$23,0))</f>
        <v>52.9</v>
      </c>
      <c r="I8" s="2">
        <f>INDEX(bounds!$23:$32,MATCH(targets!$A8,bounds!$A$23:$A$32,0), MATCH(I$1,bounds!$23:$23,0))</f>
        <v>50.860284058021669</v>
      </c>
      <c r="J8" s="2">
        <f>INDEX(bounds!$23:$32,MATCH(targets!$A8,bounds!$A$23:$A$32,0), MATCH(J$1,bounds!$23:$23,0))</f>
        <v>54.983958159669321</v>
      </c>
      <c r="K8" s="1" t="s">
        <v>21</v>
      </c>
    </row>
    <row r="9" spans="1:11">
      <c r="A9" s="1" t="str">
        <f t="shared" si="2"/>
        <v>incidence_clin_67</v>
      </c>
      <c r="B9" s="1" t="s">
        <v>19</v>
      </c>
      <c r="C9" s="1">
        <v>65</v>
      </c>
      <c r="D9" s="1">
        <f t="shared" si="3"/>
        <v>70</v>
      </c>
      <c r="E9" s="1">
        <f t="shared" si="1"/>
        <v>67</v>
      </c>
      <c r="F9" s="2">
        <f>INDEX(bounds!$23:$32,MATCH(targets!$A9,bounds!$A$23:$A$32,0), MATCH(F$1,bounds!$23:$23,0))</f>
        <v>3404.15346684312</v>
      </c>
      <c r="G9" s="2">
        <f>INDEX(bounds!$23:$32,MATCH(targets!$A9,bounds!$A$23:$A$32,0), MATCH(G$1,bounds!$23:$23,0))</f>
        <v>4111296.4575399999</v>
      </c>
      <c r="H9" s="2">
        <f>INDEX(bounds!$23:$32,MATCH(targets!$A9,bounds!$A$23:$A$32,0), MATCH(H$1,bounds!$23:$23,0))</f>
        <v>82.8</v>
      </c>
      <c r="I9" s="2">
        <f>INDEX(bounds!$23:$32,MATCH(targets!$A9,bounds!$A$23:$A$32,0), MATCH(I$1,bounds!$23:$23,0))</f>
        <v>79.990143004942581</v>
      </c>
      <c r="J9" s="2">
        <f>INDEX(bounds!$23:$32,MATCH(targets!$A9,bounds!$A$23:$A$32,0), MATCH(J$1,bounds!$23:$23,0))</f>
        <v>85.674831914507308</v>
      </c>
      <c r="K9" s="1" t="s">
        <v>21</v>
      </c>
    </row>
    <row r="10" spans="1:11">
      <c r="A10" s="1" t="str">
        <f t="shared" si="2"/>
        <v>incidence_clin_72</v>
      </c>
      <c r="B10" s="1" t="s">
        <v>19</v>
      </c>
      <c r="C10" s="1">
        <v>70</v>
      </c>
      <c r="D10" s="1">
        <f t="shared" si="3"/>
        <v>75</v>
      </c>
      <c r="E10" s="1">
        <f t="shared" si="1"/>
        <v>72</v>
      </c>
      <c r="F10" s="2">
        <f>INDEX(bounds!$23:$32,MATCH(targets!$A10,bounds!$A$23:$A$32,0), MATCH(F$1,bounds!$23:$23,0))</f>
        <v>3492.4151367184104</v>
      </c>
      <c r="G10" s="2">
        <f>INDEX(bounds!$23:$32,MATCH(targets!$A10,bounds!$A$23:$A$32,0), MATCH(G$1,bounds!$23:$23,0))</f>
        <v>3201113.7825100003</v>
      </c>
      <c r="H10" s="2">
        <f>INDEX(bounds!$23:$32,MATCH(targets!$A10,bounds!$A$23:$A$32,0), MATCH(H$1,bounds!$23:$23,0))</f>
        <v>109.1</v>
      </c>
      <c r="I10" s="2">
        <f>INDEX(bounds!$23:$32,MATCH(targets!$A10,bounds!$A$23:$A$32,0), MATCH(I$1,bounds!$23:$23,0))</f>
        <v>105.45249909757202</v>
      </c>
      <c r="J10" s="2">
        <f>INDEX(bounds!$23:$32,MATCH(targets!$A10,bounds!$A$23:$A$32,0), MATCH(J$1,bounds!$23:$23,0))</f>
        <v>112.82992889659357</v>
      </c>
      <c r="K10" s="1" t="s">
        <v>21</v>
      </c>
    </row>
    <row r="11" spans="1:11">
      <c r="A11" s="1" t="str">
        <f t="shared" si="2"/>
        <v>incidence_clin_77</v>
      </c>
      <c r="B11" s="1" t="s">
        <v>19</v>
      </c>
      <c r="C11" s="1">
        <v>75</v>
      </c>
      <c r="D11" s="1">
        <f t="shared" si="3"/>
        <v>80</v>
      </c>
      <c r="E11" s="1">
        <f t="shared" si="1"/>
        <v>77</v>
      </c>
      <c r="F11" s="2">
        <f>INDEX(bounds!$23:$32,MATCH(targets!$A11,bounds!$A$23:$A$32,0), MATCH(F$1,bounds!$23:$23,0))</f>
        <v>2981.061795768579</v>
      </c>
      <c r="G11" s="2">
        <f>INDEX(bounds!$23:$32,MATCH(targets!$A11,bounds!$A$23:$A$32,0), MATCH(G$1,bounds!$23:$23,0))</f>
        <v>2254963.5368899996</v>
      </c>
      <c r="H11" s="2">
        <f>INDEX(bounds!$23:$32,MATCH(targets!$A11,bounds!$A$23:$A$32,0), MATCH(H$1,bounds!$23:$23,0))</f>
        <v>132.19999999999999</v>
      </c>
      <c r="I11" s="2">
        <f>INDEX(bounds!$23:$32,MATCH(targets!$A11,bounds!$A$23:$A$32,0), MATCH(I$1,bounds!$23:$23,0))</f>
        <v>127.42849266253278</v>
      </c>
      <c r="J11" s="2">
        <f>INDEX(bounds!$23:$32,MATCH(targets!$A11,bounds!$A$23:$A$32,0), MATCH(J$1,bounds!$23:$23,0))</f>
        <v>137.07498967213519</v>
      </c>
      <c r="K11" s="1" t="s">
        <v>21</v>
      </c>
    </row>
    <row r="12" spans="1:11">
      <c r="A12" s="1" t="str">
        <f t="shared" si="2"/>
        <v>incidence_clin_82</v>
      </c>
      <c r="B12" s="1" t="s">
        <v>19</v>
      </c>
      <c r="C12" s="1">
        <v>80</v>
      </c>
      <c r="D12" s="1">
        <f t="shared" si="3"/>
        <v>85</v>
      </c>
      <c r="E12" s="1">
        <f t="shared" si="1"/>
        <v>82</v>
      </c>
      <c r="F12" s="2">
        <f>INDEX(bounds!$23:$32,MATCH(targets!$A12,bounds!$A$23:$A$32,0), MATCH(F$1,bounds!$23:$23,0))</f>
        <v>2005.43857566867</v>
      </c>
      <c r="G12" s="2">
        <f>INDEX(bounds!$23:$32,MATCH(targets!$A12,bounds!$A$23:$A$32,0), MATCH(G$1,bounds!$23:$23,0))</f>
        <v>1343227.4451899999</v>
      </c>
      <c r="H12" s="2">
        <f>INDEX(bounds!$23:$32,MATCH(targets!$A12,bounds!$A$23:$A$32,0), MATCH(H$1,bounds!$23:$23,0))</f>
        <v>149.30000000000001</v>
      </c>
      <c r="I12" s="2">
        <f>INDEX(bounds!$23:$32,MATCH(targets!$A12,bounds!$A$23:$A$32,0), MATCH(I$1,bounds!$23:$23,0))</f>
        <v>142.7680888200511</v>
      </c>
      <c r="J12" s="2">
        <f>INDEX(bounds!$23:$32,MATCH(targets!$A12,bounds!$A$23:$A$32,0), MATCH(J$1,bounds!$23:$23,0))</f>
        <v>156.02337488989809</v>
      </c>
      <c r="K12" s="1" t="s">
        <v>21</v>
      </c>
    </row>
    <row r="13" spans="1:11">
      <c r="A13" s="1" t="str">
        <f t="shared" si="2"/>
        <v>incidence_clin_92</v>
      </c>
      <c r="B13" s="1" t="s">
        <v>19</v>
      </c>
      <c r="C13" s="1">
        <v>85</v>
      </c>
      <c r="D13" s="1">
        <v>100</v>
      </c>
      <c r="E13" s="1">
        <f t="shared" si="1"/>
        <v>92</v>
      </c>
      <c r="F13" s="2">
        <f>INDEX(bounds!$23:$32,MATCH(targets!$A13,bounds!$A$23:$A$32,0), MATCH(F$1,bounds!$23:$23,0))</f>
        <v>1258.9121706180499</v>
      </c>
      <c r="G13" s="2">
        <f>INDEX(bounds!$23:$32,MATCH(targets!$A13,bounds!$A$23:$A$32,0), MATCH(G$1,bounds!$23:$23,0))</f>
        <v>888434.84165000007</v>
      </c>
      <c r="H13" s="2">
        <f>INDEX(bounds!$23:$32,MATCH(targets!$A13,bounds!$A$23:$A$32,0), MATCH(H$1,bounds!$23:$23,0))</f>
        <v>141.69999999999999</v>
      </c>
      <c r="I13" s="2">
        <f>INDEX(bounds!$23:$32,MATCH(targets!$A13,bounds!$A$23:$A$32,0), MATCH(I$1,bounds!$23:$23,0))</f>
        <v>133.87986472565848</v>
      </c>
      <c r="J13" s="2">
        <f>INDEX(bounds!$23:$32,MATCH(targets!$A13,bounds!$A$23:$A$32,0), MATCH(J$1,bounds!$23:$23,0))</f>
        <v>149.75933097441057</v>
      </c>
      <c r="K13" s="1" t="s">
        <v>21</v>
      </c>
    </row>
    <row r="14" spans="1:11">
      <c r="A14" s="1" t="str">
        <f t="shared" si="0"/>
        <v>stage_distr_1</v>
      </c>
      <c r="B14" s="1" t="s">
        <v>8</v>
      </c>
      <c r="E14" s="1">
        <v>1</v>
      </c>
      <c r="F14" s="2">
        <f>INDEX(bounds!$A$6:$L$1048576,MATCH(targets!$A14,bounds!$A$6:$A$1048576,0), MATCH(F$1,bounds!$6:$6,0))</f>
        <v>21522.9</v>
      </c>
      <c r="G14" s="2">
        <f>INDEX(bounds!$A$6:$L$1048576,MATCH(targets!$A14,bounds!$A$6:$A$1048576,0), MATCH(G$1,bounds!$6:$6,0))</f>
        <v>27630.75</v>
      </c>
      <c r="H14" s="2">
        <f>INDEX(bounds!$A$6:$L$1048576,MATCH(targets!$A14,bounds!$A$6:$A$1048576,0), MATCH(H$1,bounds!$6:$6,0))</f>
        <v>0.77894736842105272</v>
      </c>
      <c r="I14" s="2">
        <f>INDEX(bounds!$A$6:$L$1048576,MATCH(targets!$A14,bounds!$A$6:$A$1048576,0), MATCH(I$1,bounds!$6:$6,0))</f>
        <v>0.77401602151958493</v>
      </c>
      <c r="J14" s="2">
        <f>INDEX(bounds!$A$6:$L$1048576,MATCH(targets!$A14,bounds!$A$6:$A$1048576,0), MATCH(J$1,bounds!$6:$6,0))</f>
        <v>0.78380116289475799</v>
      </c>
      <c r="K14" s="1" t="s">
        <v>21</v>
      </c>
    </row>
    <row r="15" spans="1:11">
      <c r="A15" s="1" t="str">
        <f t="shared" si="0"/>
        <v>stage_distr_2</v>
      </c>
      <c r="B15" s="1" t="s">
        <v>8</v>
      </c>
      <c r="E15" s="1">
        <v>2</v>
      </c>
      <c r="F15" s="2">
        <f>INDEX(bounds!$A$6:$L$1048576,MATCH(targets!$A15,bounds!$A$6:$A$1048576,0), MATCH(F$1,bounds!$6:$6,0))</f>
        <v>5235.3</v>
      </c>
      <c r="G15" s="2">
        <f>INDEX(bounds!$A$6:$L$1048576,MATCH(targets!$A15,bounds!$A$6:$A$1048576,0), MATCH(G$1,bounds!$6:$6,0))</f>
        <v>27630.75</v>
      </c>
      <c r="H15" s="2">
        <f>INDEX(bounds!$A$6:$L$1048576,MATCH(targets!$A15,bounds!$A$6:$A$1048576,0), MATCH(H$1,bounds!$6:$6,0))</f>
        <v>0.18947368421052632</v>
      </c>
      <c r="I15" s="2">
        <f>INDEX(bounds!$A$6:$L$1048576,MATCH(targets!$A15,bounds!$A$6:$A$1048576,0), MATCH(I$1,bounds!$6:$6,0))</f>
        <v>0.18489624853500833</v>
      </c>
      <c r="J15" s="2">
        <f>INDEX(bounds!$A$6:$L$1048576,MATCH(targets!$A15,bounds!$A$6:$A$1048576,0), MATCH(J$1,bounds!$6:$6,0))</f>
        <v>0.19413745183393108</v>
      </c>
      <c r="K15" s="1" t="s">
        <v>21</v>
      </c>
    </row>
    <row r="16" spans="1:11">
      <c r="A16" s="1" t="str">
        <f t="shared" si="0"/>
        <v>stage_distr_3</v>
      </c>
      <c r="B16" s="1" t="s">
        <v>8</v>
      </c>
      <c r="E16" s="1">
        <v>3</v>
      </c>
      <c r="F16" s="2">
        <f>INDEX(bounds!$A$6:$L$1048576,MATCH(targets!$A16,bounds!$A$6:$A$1048576,0), MATCH(F$1,bounds!$6:$6,0))</f>
        <v>872.55</v>
      </c>
      <c r="G16" s="2">
        <f>INDEX(bounds!$A$6:$L$1048576,MATCH(targets!$A16,bounds!$A$6:$A$1048576,0), MATCH(G$1,bounds!$6:$6,0))</f>
        <v>27630.75</v>
      </c>
      <c r="H16" s="2">
        <f>INDEX(bounds!$A$6:$L$1048576,MATCH(targets!$A16,bounds!$A$6:$A$1048576,0), MATCH(H$1,bounds!$6:$6,0))</f>
        <v>3.1578947368421054E-2</v>
      </c>
      <c r="I16" s="2">
        <f>INDEX(bounds!$A$6:$L$1048576,MATCH(targets!$A16,bounds!$A$6:$A$1048576,0), MATCH(I$1,bounds!$6:$6,0))</f>
        <v>2.9581205871892616E-2</v>
      </c>
      <c r="J16" s="2">
        <f>INDEX(bounds!$A$6:$L$1048576,MATCH(targets!$A16,bounds!$A$6:$A$1048576,0), MATCH(J$1,bounds!$6:$6,0))</f>
        <v>3.3706918413456612E-2</v>
      </c>
      <c r="K16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36"/>
  <sheetViews>
    <sheetView tabSelected="1" workbookViewId="0"/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1810</v>
      </c>
      <c r="H7" s="1">
        <v>1</v>
      </c>
      <c r="I7" s="1">
        <f>H7/G7</f>
        <v>5.5248618784530391E-4</v>
      </c>
      <c r="J7" s="1">
        <f t="shared" ref="J7:J9" si="1">$B$4^2/G7</f>
        <v>2.1223529396100132E-3</v>
      </c>
      <c r="K7" s="1">
        <f t="shared" ref="K7:K9" si="2">(I7+J7/2)/(J7+1)-$B$4/(J7+1)*SQRT(I7*(1-I7)/G7+J7/(4*G7))</f>
        <v>9.7534036711855159E-5</v>
      </c>
      <c r="L7" s="1">
        <f t="shared" ref="L7:L9" si="3">(I7+J7/2)/(J7+1)+$B$4/(J7+1)*SQRT(I7*(1-I7)/G7+J7/(4*G7))</f>
        <v>3.1229562615372915E-3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1307</v>
      </c>
      <c r="H8" s="1">
        <v>2</v>
      </c>
      <c r="I8" s="1">
        <f t="shared" ref="I8:I9" si="5">H8/G8</f>
        <v>1.530221882172915E-3</v>
      </c>
      <c r="J8" s="1">
        <f t="shared" si="1"/>
        <v>2.9391421734461542E-3</v>
      </c>
      <c r="K8" s="1">
        <f t="shared" si="2"/>
        <v>4.1974238437163421E-4</v>
      </c>
      <c r="L8" s="1">
        <f t="shared" si="3"/>
        <v>5.562261593248006E-3</v>
      </c>
    </row>
    <row r="9" spans="1:12">
      <c r="A9" s="1" t="str">
        <f t="shared" si="4"/>
        <v>prevalence_preclin_90</v>
      </c>
      <c r="B9" s="1" t="s">
        <v>18</v>
      </c>
      <c r="C9" s="2">
        <v>85</v>
      </c>
      <c r="D9" s="2">
        <v>95</v>
      </c>
      <c r="E9" s="1">
        <f t="shared" si="0"/>
        <v>90</v>
      </c>
      <c r="G9" s="1">
        <v>418</v>
      </c>
      <c r="H9" s="1">
        <v>5</v>
      </c>
      <c r="I9" s="1">
        <f t="shared" si="5"/>
        <v>1.1961722488038277E-2</v>
      </c>
      <c r="J9" s="1">
        <f t="shared" si="1"/>
        <v>9.1900928724739806E-3</v>
      </c>
      <c r="K9" s="1">
        <f t="shared" si="2"/>
        <v>5.1198596930172122E-3</v>
      </c>
      <c r="L9" s="1">
        <f t="shared" si="3"/>
        <v>2.7692132896306509E-2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32" si="11">B24&amp;"_"&amp;E24</f>
        <v>incidence_clin_47</v>
      </c>
      <c r="B24" s="1" t="s">
        <v>19</v>
      </c>
      <c r="C24" s="1">
        <v>45</v>
      </c>
      <c r="D24" s="1">
        <f t="shared" ref="D24:D31" si="12">C25</f>
        <v>50</v>
      </c>
      <c r="E24" s="1">
        <f t="shared" ref="E24:E32" si="13">FLOOR(AVERAGE(C24,D24), 1)</f>
        <v>47</v>
      </c>
      <c r="F24" s="1">
        <v>59622</v>
      </c>
      <c r="G24" s="1">
        <f t="shared" ref="G24:G32" si="14">F24/$B$16*$B$17*($B$19-$B$18+1)</f>
        <v>7124446.8229799997</v>
      </c>
      <c r="H24" s="1">
        <f t="shared" ref="H24:H32" si="15">K24*G24/$B$20</f>
        <v>676.82244818309994</v>
      </c>
      <c r="I24" s="1">
        <f t="shared" ref="I24:I32" si="16">MAX(0, K24-0.05)*G24/$B$20</f>
        <v>673.26022477160996</v>
      </c>
      <c r="J24" s="1">
        <f t="shared" ref="J24:J32" si="17">(K24+0.05)*G24/$B$20</f>
        <v>680.38467159458992</v>
      </c>
      <c r="K24" s="1">
        <v>9.5</v>
      </c>
      <c r="L24" s="1">
        <f>SUM(H24:H25)/$H$33</f>
        <v>9.5583622614415803E-2</v>
      </c>
      <c r="M24" s="1">
        <f t="shared" ref="M24:M32" si="18">IFERROR(0.5*_xlfn.CHISQ.INV($B$3/2,2*I24)/$G24*$B$20, 0)</f>
        <v>8.7460518806358838</v>
      </c>
      <c r="N24" s="1">
        <f t="shared" ref="N24:N32" si="19">IFERROR(0.5*_xlfn.CHISQ.INV(1-$B$3/2,2*($J24+1))/$G24*$B$20, 0)</f>
        <v>10.289748213803048</v>
      </c>
    </row>
    <row r="25" spans="1:24">
      <c r="A25" s="1" t="str">
        <f t="shared" si="11"/>
        <v>incidence_clin_52</v>
      </c>
      <c r="B25" s="1" t="s">
        <v>19</v>
      </c>
      <c r="C25" s="1">
        <v>50</v>
      </c>
      <c r="D25" s="1">
        <f t="shared" si="12"/>
        <v>55</v>
      </c>
      <c r="E25" s="1">
        <f t="shared" si="13"/>
        <v>52</v>
      </c>
      <c r="F25" s="1">
        <v>54643</v>
      </c>
      <c r="G25" s="1">
        <f t="shared" si="14"/>
        <v>6529488.2383699995</v>
      </c>
      <c r="H25" s="1">
        <f t="shared" si="15"/>
        <v>1207.9553240984499</v>
      </c>
      <c r="I25" s="1">
        <f t="shared" si="16"/>
        <v>1204.6905799792648</v>
      </c>
      <c r="J25" s="1">
        <f t="shared" si="17"/>
        <v>1211.2200682176351</v>
      </c>
      <c r="K25" s="1">
        <v>18.5</v>
      </c>
      <c r="M25" s="1">
        <f t="shared" si="18"/>
        <v>17.419890817649691</v>
      </c>
      <c r="N25" s="1">
        <f t="shared" si="19"/>
        <v>19.621383584718842</v>
      </c>
    </row>
    <row r="26" spans="1:24">
      <c r="A26" s="1" t="str">
        <f t="shared" si="11"/>
        <v>incidence_clin_57</v>
      </c>
      <c r="B26" s="1" t="s">
        <v>19</v>
      </c>
      <c r="C26" s="1">
        <v>55</v>
      </c>
      <c r="D26" s="1">
        <f t="shared" si="12"/>
        <v>60</v>
      </c>
      <c r="E26" s="1">
        <f t="shared" si="13"/>
        <v>57</v>
      </c>
      <c r="F26" s="1">
        <v>49077</v>
      </c>
      <c r="G26" s="1">
        <f t="shared" si="14"/>
        <v>5864386.9164300002</v>
      </c>
      <c r="H26" s="1">
        <f t="shared" si="15"/>
        <v>2011.48471233549</v>
      </c>
      <c r="I26" s="1">
        <f t="shared" si="16"/>
        <v>2008.5525188772749</v>
      </c>
      <c r="J26" s="1">
        <f t="shared" si="17"/>
        <v>2014.4169057937047</v>
      </c>
      <c r="K26" s="1">
        <v>34.299999999999997</v>
      </c>
      <c r="L26" s="1">
        <f>SUM(H26:H27)/$H$33</f>
        <v>0.23794089963851275</v>
      </c>
      <c r="M26" s="1">
        <f t="shared" si="18"/>
        <v>32.767494120937265</v>
      </c>
      <c r="N26" s="1">
        <f t="shared" si="19"/>
        <v>35.876275809580278</v>
      </c>
    </row>
    <row r="27" spans="1:24">
      <c r="A27" s="1" t="str">
        <f t="shared" si="11"/>
        <v>incidence_clin_62</v>
      </c>
      <c r="B27" s="1" t="s">
        <v>19</v>
      </c>
      <c r="C27" s="1">
        <v>60</v>
      </c>
      <c r="D27" s="1">
        <f t="shared" si="12"/>
        <v>65</v>
      </c>
      <c r="E27" s="1">
        <f t="shared" si="13"/>
        <v>62</v>
      </c>
      <c r="F27" s="1">
        <v>42403</v>
      </c>
      <c r="G27" s="1">
        <f t="shared" si="14"/>
        <v>5066886.6967700003</v>
      </c>
      <c r="H27" s="1">
        <f t="shared" si="15"/>
        <v>2680.3830625913301</v>
      </c>
      <c r="I27" s="1">
        <f t="shared" si="16"/>
        <v>2677.8496192429452</v>
      </c>
      <c r="J27" s="1">
        <f t="shared" si="17"/>
        <v>2682.9165059397151</v>
      </c>
      <c r="K27" s="1">
        <v>52.9</v>
      </c>
      <c r="M27" s="1">
        <f t="shared" si="18"/>
        <v>50.860284058021669</v>
      </c>
      <c r="N27" s="1">
        <f t="shared" si="19"/>
        <v>54.983958159669321</v>
      </c>
    </row>
    <row r="28" spans="1:24">
      <c r="A28" s="1" t="str">
        <f t="shared" si="11"/>
        <v>incidence_clin_67</v>
      </c>
      <c r="B28" s="1" t="s">
        <v>19</v>
      </c>
      <c r="C28" s="1">
        <v>65</v>
      </c>
      <c r="D28" s="1">
        <f t="shared" si="12"/>
        <v>70</v>
      </c>
      <c r="E28" s="1">
        <f t="shared" si="13"/>
        <v>67</v>
      </c>
      <c r="F28" s="1">
        <v>34406</v>
      </c>
      <c r="G28" s="1">
        <f t="shared" si="14"/>
        <v>4111296.4575399999</v>
      </c>
      <c r="H28" s="1">
        <f t="shared" si="15"/>
        <v>3404.15346684312</v>
      </c>
      <c r="I28" s="1">
        <f t="shared" si="16"/>
        <v>3402.0978186143498</v>
      </c>
      <c r="J28" s="1">
        <f t="shared" si="17"/>
        <v>3406.2091150718898</v>
      </c>
      <c r="K28" s="1">
        <v>82.8</v>
      </c>
      <c r="L28" s="1">
        <f>SUM(H28:H29)/$H$33</f>
        <v>0.34974893084572212</v>
      </c>
      <c r="M28" s="1">
        <f t="shared" si="18"/>
        <v>79.990143004942581</v>
      </c>
      <c r="N28" s="1">
        <f t="shared" si="19"/>
        <v>85.674831914507308</v>
      </c>
    </row>
    <row r="29" spans="1:24">
      <c r="A29" s="1" t="str">
        <f t="shared" si="11"/>
        <v>incidence_clin_72</v>
      </c>
      <c r="B29" s="1" t="s">
        <v>19</v>
      </c>
      <c r="C29" s="1">
        <v>70</v>
      </c>
      <c r="D29" s="1">
        <f t="shared" si="12"/>
        <v>75</v>
      </c>
      <c r="E29" s="1">
        <f t="shared" si="13"/>
        <v>72</v>
      </c>
      <c r="F29" s="1">
        <v>26789</v>
      </c>
      <c r="G29" s="1">
        <f t="shared" si="14"/>
        <v>3201113.7825100003</v>
      </c>
      <c r="H29" s="1">
        <f t="shared" si="15"/>
        <v>3492.4151367184104</v>
      </c>
      <c r="I29" s="1">
        <f t="shared" si="16"/>
        <v>3490.8145798271553</v>
      </c>
      <c r="J29" s="1">
        <f t="shared" si="17"/>
        <v>3494.015693609665</v>
      </c>
      <c r="K29" s="1">
        <v>109.1</v>
      </c>
      <c r="M29" s="1">
        <f t="shared" si="18"/>
        <v>105.45249909757202</v>
      </c>
      <c r="N29" s="1">
        <f t="shared" si="19"/>
        <v>112.82992889659357</v>
      </c>
    </row>
    <row r="30" spans="1:24">
      <c r="A30" s="1" t="str">
        <f t="shared" si="11"/>
        <v>incidence_clin_77</v>
      </c>
      <c r="B30" s="1" t="s">
        <v>19</v>
      </c>
      <c r="C30" s="1">
        <v>75</v>
      </c>
      <c r="D30" s="1">
        <f t="shared" si="12"/>
        <v>80</v>
      </c>
      <c r="E30" s="1">
        <f t="shared" si="13"/>
        <v>77</v>
      </c>
      <c r="F30" s="1">
        <v>18871</v>
      </c>
      <c r="G30" s="1">
        <f t="shared" si="14"/>
        <v>2254963.5368899996</v>
      </c>
      <c r="H30" s="1">
        <f t="shared" si="15"/>
        <v>2981.061795768579</v>
      </c>
      <c r="I30" s="1">
        <f t="shared" si="16"/>
        <v>2979.9343140001338</v>
      </c>
      <c r="J30" s="1">
        <f t="shared" si="17"/>
        <v>2982.1892775370247</v>
      </c>
      <c r="K30" s="1">
        <v>132.19999999999999</v>
      </c>
      <c r="L30" s="1">
        <f>SUM(H30:H31)/$H$33</f>
        <v>0.2528827412332742</v>
      </c>
      <c r="M30" s="1">
        <f t="shared" si="18"/>
        <v>127.42849266253278</v>
      </c>
      <c r="N30" s="1">
        <f t="shared" si="19"/>
        <v>137.07498967213519</v>
      </c>
    </row>
    <row r="31" spans="1:24">
      <c r="A31" s="1" t="str">
        <f t="shared" si="11"/>
        <v>incidence_clin_82</v>
      </c>
      <c r="B31" s="1" t="s">
        <v>19</v>
      </c>
      <c r="C31" s="1">
        <v>80</v>
      </c>
      <c r="D31" s="1">
        <f t="shared" si="12"/>
        <v>85</v>
      </c>
      <c r="E31" s="1">
        <f t="shared" si="13"/>
        <v>82</v>
      </c>
      <c r="F31" s="1">
        <v>11241</v>
      </c>
      <c r="G31" s="1">
        <f t="shared" si="14"/>
        <v>1343227.4451899999</v>
      </c>
      <c r="H31" s="1">
        <f t="shared" si="15"/>
        <v>2005.43857566867</v>
      </c>
      <c r="I31" s="1">
        <f t="shared" si="16"/>
        <v>2004.7669619460751</v>
      </c>
      <c r="J31" s="1">
        <f t="shared" si="17"/>
        <v>2006.1101893912653</v>
      </c>
      <c r="K31" s="1">
        <v>149.30000000000001</v>
      </c>
      <c r="M31" s="1">
        <f t="shared" si="18"/>
        <v>142.7680888200511</v>
      </c>
      <c r="N31" s="1">
        <f t="shared" si="19"/>
        <v>156.02337488989809</v>
      </c>
    </row>
    <row r="32" spans="1:24">
      <c r="A32" s="1" t="str">
        <f t="shared" si="11"/>
        <v>incidence_clin_92</v>
      </c>
      <c r="B32" s="1" t="s">
        <v>19</v>
      </c>
      <c r="C32" s="1">
        <v>85</v>
      </c>
      <c r="D32" s="1">
        <v>100</v>
      </c>
      <c r="E32" s="1">
        <f t="shared" si="13"/>
        <v>92</v>
      </c>
      <c r="F32" s="1">
        <v>7435</v>
      </c>
      <c r="G32" s="1">
        <f t="shared" si="14"/>
        <v>888434.84165000007</v>
      </c>
      <c r="H32" s="1">
        <f t="shared" si="15"/>
        <v>1258.9121706180499</v>
      </c>
      <c r="I32" s="1">
        <f t="shared" si="16"/>
        <v>1258.4679531972249</v>
      </c>
      <c r="J32" s="1">
        <f t="shared" si="17"/>
        <v>1259.3563880388751</v>
      </c>
      <c r="K32" s="1">
        <v>141.69999999999999</v>
      </c>
      <c r="L32" s="1">
        <f>H32/H33</f>
        <v>6.3843805668075071E-2</v>
      </c>
      <c r="M32" s="1">
        <f t="shared" si="18"/>
        <v>133.87986472565848</v>
      </c>
      <c r="N32" s="1">
        <f t="shared" si="19"/>
        <v>149.75933097441057</v>
      </c>
    </row>
    <row r="33" spans="1:8">
      <c r="A33" s="1" t="s">
        <v>30</v>
      </c>
      <c r="F33" s="1">
        <f>SUM(F24:F32)</f>
        <v>304487</v>
      </c>
      <c r="G33" s="1">
        <f>SUM(G24:G32)</f>
        <v>36384244.738329999</v>
      </c>
      <c r="H33" s="1">
        <f>SUM(H24:H32)</f>
        <v>19718.626692825201</v>
      </c>
    </row>
    <row r="34" spans="1:8">
      <c r="A34" s="1" t="s">
        <v>34</v>
      </c>
      <c r="F34" s="3"/>
      <c r="G34" s="1">
        <f>G33/(B19-B18+1)</f>
        <v>7276848.9476659996</v>
      </c>
    </row>
    <row r="35" spans="1:8">
      <c r="F35" s="3"/>
    </row>
    <row r="36" spans="1:8">
      <c r="F3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2025-09-19T00:40:27Z</dcterms:modified>
</cp:coreProperties>
</file>