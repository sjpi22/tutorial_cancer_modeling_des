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09A7F395-6CFE-8043-837E-9805B62E6986}" xr6:coauthVersionLast="47" xr6:coauthVersionMax="47" xr10:uidLastSave="{00000000-0000-0000-0000-000000000000}"/>
  <bookViews>
    <workbookView xWindow="4000" yWindow="760" windowWidth="26240" windowHeight="1774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D9" i="2"/>
  <c r="D8" i="2"/>
  <c r="A25" i="1"/>
  <c r="A24" i="1"/>
  <c r="E25" i="1"/>
  <c r="E24" i="1"/>
  <c r="E23" i="1"/>
  <c r="A23" i="1" s="1"/>
  <c r="D25" i="1"/>
  <c r="D24" i="1"/>
  <c r="D23" i="1"/>
  <c r="Q42" i="2" l="1"/>
  <c r="Q41" i="2"/>
  <c r="Q40" i="2"/>
  <c r="Q39" i="2"/>
  <c r="Q38" i="2"/>
  <c r="Q37" i="2"/>
  <c r="Q36" i="2"/>
  <c r="Q35" i="2"/>
  <c r="Q34" i="2"/>
  <c r="Q33" i="2"/>
  <c r="R34" i="2" s="1"/>
  <c r="Q32" i="2"/>
  <c r="Q31" i="2"/>
  <c r="Q30" i="2"/>
  <c r="Q29" i="2"/>
  <c r="Q28" i="2"/>
  <c r="Q27" i="2"/>
  <c r="Q26" i="2"/>
  <c r="R40" i="2" s="1"/>
  <c r="Q25" i="2"/>
  <c r="R41" i="2"/>
  <c r="R32" i="2"/>
  <c r="R31" i="2"/>
  <c r="R25" i="2"/>
  <c r="R42" i="2" l="1"/>
  <c r="R33" i="2"/>
  <c r="R35" i="2"/>
  <c r="R26" i="2"/>
  <c r="R36" i="2"/>
  <c r="R27" i="2"/>
  <c r="R37" i="2"/>
  <c r="R28" i="2"/>
  <c r="R38" i="2"/>
  <c r="R29" i="2"/>
  <c r="R39" i="2"/>
  <c r="R30" i="2"/>
  <c r="H34" i="2" l="1"/>
  <c r="F43" i="2"/>
  <c r="G25" i="2"/>
  <c r="M39" i="2"/>
  <c r="N39" i="2" s="1"/>
  <c r="M27" i="2"/>
  <c r="N27" i="2" s="1"/>
  <c r="M26" i="2"/>
  <c r="N26" i="2" s="1"/>
  <c r="C5" i="2"/>
  <c r="E19" i="1"/>
  <c r="A19" i="1" s="1"/>
  <c r="A13" i="2"/>
  <c r="A12" i="2"/>
  <c r="A11" i="2"/>
  <c r="E42" i="2"/>
  <c r="A42" i="2" s="1"/>
  <c r="E25" i="2"/>
  <c r="A25" i="2" s="1"/>
  <c r="H27" i="2"/>
  <c r="G42" i="2"/>
  <c r="H42" i="2" s="1"/>
  <c r="G41" i="2"/>
  <c r="I41" i="2" s="1"/>
  <c r="M41" i="2" s="1"/>
  <c r="N41" i="2" s="1"/>
  <c r="G40" i="2"/>
  <c r="H40" i="2" s="1"/>
  <c r="G39" i="2"/>
  <c r="I39" i="2" s="1"/>
  <c r="G38" i="2"/>
  <c r="J38" i="2" s="1"/>
  <c r="O38" i="2" s="1"/>
  <c r="G37" i="2"/>
  <c r="H37" i="2" s="1"/>
  <c r="G36" i="2"/>
  <c r="H36" i="2" s="1"/>
  <c r="G35" i="2"/>
  <c r="H35" i="2" s="1"/>
  <c r="G34" i="2"/>
  <c r="G33" i="2"/>
  <c r="H33" i="2" s="1"/>
  <c r="G32" i="2"/>
  <c r="H32" i="2" s="1"/>
  <c r="G31" i="2"/>
  <c r="I31" i="2" s="1"/>
  <c r="M31" i="2" s="1"/>
  <c r="N31" i="2" s="1"/>
  <c r="G30" i="2"/>
  <c r="I30" i="2" s="1"/>
  <c r="M30" i="2" s="1"/>
  <c r="N30" i="2" s="1"/>
  <c r="G29" i="2"/>
  <c r="H29" i="2" s="1"/>
  <c r="G28" i="2"/>
  <c r="J28" i="2" s="1"/>
  <c r="O28" i="2" s="1"/>
  <c r="G27" i="2"/>
  <c r="I27" i="2" s="1"/>
  <c r="G26" i="2"/>
  <c r="I26" i="2" s="1"/>
  <c r="H25" i="2"/>
  <c r="D41" i="2"/>
  <c r="E41" i="2" s="1"/>
  <c r="A41" i="2" s="1"/>
  <c r="D40" i="2"/>
  <c r="E40" i="2" s="1"/>
  <c r="A40" i="2" s="1"/>
  <c r="D39" i="2"/>
  <c r="E39" i="2" s="1"/>
  <c r="A39" i="2" s="1"/>
  <c r="D38" i="2"/>
  <c r="E38" i="2" s="1"/>
  <c r="A38" i="2" s="1"/>
  <c r="D37" i="2"/>
  <c r="E37" i="2" s="1"/>
  <c r="A37" i="2" s="1"/>
  <c r="D36" i="2"/>
  <c r="E36" i="2" s="1"/>
  <c r="A36" i="2" s="1"/>
  <c r="D35" i="2"/>
  <c r="E35" i="2" s="1"/>
  <c r="A35" i="2" s="1"/>
  <c r="D34" i="2"/>
  <c r="E34" i="2" s="1"/>
  <c r="A34" i="2" s="1"/>
  <c r="D33" i="2"/>
  <c r="E33" i="2" s="1"/>
  <c r="A33" i="2" s="1"/>
  <c r="D32" i="2"/>
  <c r="E32" i="2" s="1"/>
  <c r="A32" i="2" s="1"/>
  <c r="D31" i="2"/>
  <c r="E31" i="2" s="1"/>
  <c r="A31" i="2" s="1"/>
  <c r="D30" i="2"/>
  <c r="E30" i="2" s="1"/>
  <c r="A30" i="2" s="1"/>
  <c r="D29" i="2"/>
  <c r="E29" i="2" s="1"/>
  <c r="A29" i="2" s="1"/>
  <c r="D28" i="2"/>
  <c r="E28" i="2" s="1"/>
  <c r="A28" i="2" s="1"/>
  <c r="D27" i="2"/>
  <c r="E27" i="2" s="1"/>
  <c r="A27" i="2" s="1"/>
  <c r="D26" i="2"/>
  <c r="E26" i="2" s="1"/>
  <c r="A26" i="2" s="1"/>
  <c r="G13" i="2"/>
  <c r="G12" i="2"/>
  <c r="G11" i="2"/>
  <c r="H13" i="2"/>
  <c r="H12" i="2"/>
  <c r="H11" i="2"/>
  <c r="E18" i="1"/>
  <c r="A18" i="1" s="1"/>
  <c r="D17" i="1"/>
  <c r="E17" i="1" s="1"/>
  <c r="A17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D4" i="1"/>
  <c r="E4" i="1" s="1"/>
  <c r="A4" i="1" s="1"/>
  <c r="D2" i="1"/>
  <c r="E2" i="1" s="1"/>
  <c r="A2" i="1" s="1"/>
  <c r="D3" i="1"/>
  <c r="E3" i="1" s="1"/>
  <c r="A3" i="1" s="1"/>
  <c r="I10" i="2"/>
  <c r="E10" i="2"/>
  <c r="A10" i="2" s="1"/>
  <c r="A22" i="1"/>
  <c r="A21" i="1"/>
  <c r="A20" i="1"/>
  <c r="H26" i="2" l="1"/>
  <c r="H43" i="2" s="1"/>
  <c r="H28" i="2"/>
  <c r="H39" i="2"/>
  <c r="H41" i="2"/>
  <c r="H31" i="2"/>
  <c r="F14" i="1"/>
  <c r="H30" i="2"/>
  <c r="I28" i="2"/>
  <c r="M28" i="2" s="1"/>
  <c r="N28" i="2" s="1"/>
  <c r="I38" i="2"/>
  <c r="M38" i="2" s="1"/>
  <c r="N38" i="2" s="1"/>
  <c r="J29" i="2"/>
  <c r="O29" i="2" s="1"/>
  <c r="J39" i="2"/>
  <c r="O39" i="2" s="1"/>
  <c r="G2" i="1"/>
  <c r="H5" i="1"/>
  <c r="I15" i="1"/>
  <c r="I29" i="2"/>
  <c r="M29" i="2" s="1"/>
  <c r="N29" i="2" s="1"/>
  <c r="J30" i="2"/>
  <c r="J40" i="2"/>
  <c r="O40" i="2" s="1"/>
  <c r="H6" i="1"/>
  <c r="J16" i="1"/>
  <c r="H38" i="2"/>
  <c r="I40" i="2"/>
  <c r="M40" i="2" s="1"/>
  <c r="N40" i="2" s="1"/>
  <c r="J31" i="2"/>
  <c r="O31" i="2" s="1"/>
  <c r="J8" i="1" s="1"/>
  <c r="J41" i="2"/>
  <c r="J17" i="1"/>
  <c r="J32" i="2"/>
  <c r="O32" i="2" s="1"/>
  <c r="J42" i="2"/>
  <c r="I32" i="2"/>
  <c r="M32" i="2" s="1"/>
  <c r="N32" i="2" s="1"/>
  <c r="I42" i="2"/>
  <c r="M42" i="2" s="1"/>
  <c r="N42" i="2" s="1"/>
  <c r="J33" i="2"/>
  <c r="G9" i="1"/>
  <c r="I33" i="2"/>
  <c r="M33" i="2" s="1"/>
  <c r="N33" i="2" s="1"/>
  <c r="I25" i="2"/>
  <c r="M25" i="2" s="1"/>
  <c r="N25" i="2" s="1"/>
  <c r="J34" i="2"/>
  <c r="G10" i="1"/>
  <c r="I34" i="2"/>
  <c r="M34" i="2" s="1"/>
  <c r="N34" i="2" s="1"/>
  <c r="J25" i="2"/>
  <c r="J35" i="2"/>
  <c r="I35" i="2"/>
  <c r="M35" i="2" s="1"/>
  <c r="J26" i="2"/>
  <c r="J36" i="2"/>
  <c r="I3" i="1"/>
  <c r="H12" i="1"/>
  <c r="I36" i="2"/>
  <c r="M36" i="2" s="1"/>
  <c r="N36" i="2" s="1"/>
  <c r="J27" i="2"/>
  <c r="J37" i="2"/>
  <c r="I37" i="2"/>
  <c r="M37" i="2" s="1"/>
  <c r="N37" i="2" s="1"/>
  <c r="H19" i="1"/>
  <c r="G19" i="1"/>
  <c r="F19" i="1"/>
  <c r="G13" i="1"/>
  <c r="F3" i="1"/>
  <c r="G17" i="1"/>
  <c r="I6" i="1"/>
  <c r="G3" i="1"/>
  <c r="J6" i="1"/>
  <c r="G7" i="1"/>
  <c r="H7" i="1"/>
  <c r="F8" i="1"/>
  <c r="H9" i="1"/>
  <c r="G8" i="1"/>
  <c r="I9" i="1"/>
  <c r="F9" i="1"/>
  <c r="H2" i="1"/>
  <c r="J9" i="1"/>
  <c r="F10" i="1"/>
  <c r="H10" i="1"/>
  <c r="G12" i="1"/>
  <c r="H3" i="1"/>
  <c r="I10" i="1"/>
  <c r="F13" i="1"/>
  <c r="F18" i="1"/>
  <c r="G18" i="1"/>
  <c r="I5" i="1"/>
  <c r="J15" i="1"/>
  <c r="H16" i="1"/>
  <c r="F6" i="1"/>
  <c r="F11" i="1"/>
  <c r="F16" i="1"/>
  <c r="G6" i="1"/>
  <c r="G11" i="1"/>
  <c r="G16" i="1"/>
  <c r="J5" i="1"/>
  <c r="F7" i="1"/>
  <c r="F12" i="1"/>
  <c r="F17" i="1"/>
  <c r="H13" i="1"/>
  <c r="I16" i="1"/>
  <c r="H17" i="1"/>
  <c r="H14" i="1"/>
  <c r="I17" i="1"/>
  <c r="H4" i="1"/>
  <c r="H11" i="1"/>
  <c r="I14" i="1"/>
  <c r="F4" i="1"/>
  <c r="G4" i="1"/>
  <c r="G14" i="1"/>
  <c r="I4" i="1"/>
  <c r="H8" i="1"/>
  <c r="I11" i="1"/>
  <c r="H18" i="1"/>
  <c r="F15" i="1"/>
  <c r="I8" i="1"/>
  <c r="H15" i="1"/>
  <c r="I18" i="1"/>
  <c r="F5" i="1"/>
  <c r="F2" i="1"/>
  <c r="G5" i="1"/>
  <c r="G15" i="1"/>
  <c r="I7" i="1"/>
  <c r="G43" i="2"/>
  <c r="G44" i="2" s="1"/>
  <c r="I13" i="2"/>
  <c r="I12" i="2"/>
  <c r="I11" i="2"/>
  <c r="I9" i="2"/>
  <c r="I8" i="2"/>
  <c r="E9" i="2"/>
  <c r="A9" i="2" s="1"/>
  <c r="E8" i="2"/>
  <c r="A8" i="2" s="1"/>
  <c r="B5" i="2"/>
  <c r="J9" i="2" s="1"/>
  <c r="J25" i="1" l="1"/>
  <c r="J23" i="1"/>
  <c r="H25" i="1"/>
  <c r="I23" i="1"/>
  <c r="H23" i="1"/>
  <c r="F25" i="1"/>
  <c r="G23" i="1"/>
  <c r="I24" i="1"/>
  <c r="G24" i="1"/>
  <c r="I25" i="1"/>
  <c r="J24" i="1"/>
  <c r="H24" i="1"/>
  <c r="F24" i="1"/>
  <c r="F23" i="1"/>
  <c r="G25" i="1"/>
  <c r="M8" i="1"/>
  <c r="L8" i="1"/>
  <c r="M17" i="1"/>
  <c r="L17" i="1"/>
  <c r="L3" i="1"/>
  <c r="L6" i="1"/>
  <c r="M6" i="1"/>
  <c r="L7" i="1"/>
  <c r="L10" i="1"/>
  <c r="L14" i="1"/>
  <c r="L16" i="1"/>
  <c r="M16" i="1"/>
  <c r="M9" i="1"/>
  <c r="L9" i="1"/>
  <c r="L15" i="1"/>
  <c r="M15" i="1"/>
  <c r="L5" i="1"/>
  <c r="M5" i="1"/>
  <c r="L4" i="1"/>
  <c r="L11" i="1"/>
  <c r="L18" i="1"/>
  <c r="I12" i="1"/>
  <c r="L12" i="1" s="1"/>
  <c r="N35" i="2"/>
  <c r="H44" i="2"/>
  <c r="L29" i="2"/>
  <c r="I13" i="1"/>
  <c r="L13" i="1" s="1"/>
  <c r="J13" i="1"/>
  <c r="M13" i="1" s="1"/>
  <c r="O36" i="2"/>
  <c r="I2" i="1"/>
  <c r="L2" i="1" s="1"/>
  <c r="O26" i="2"/>
  <c r="J3" i="1" s="1"/>
  <c r="M3" i="1" s="1"/>
  <c r="O33" i="2"/>
  <c r="J10" i="1" s="1"/>
  <c r="M10" i="1" s="1"/>
  <c r="I19" i="1"/>
  <c r="L19" i="1" s="1"/>
  <c r="J12" i="1"/>
  <c r="M12" i="1" s="1"/>
  <c r="O35" i="2"/>
  <c r="O34" i="2"/>
  <c r="J11" i="1" s="1"/>
  <c r="M11" i="1" s="1"/>
  <c r="O41" i="2"/>
  <c r="J18" i="1" s="1"/>
  <c r="M18" i="1" s="1"/>
  <c r="O37" i="2"/>
  <c r="J14" i="1" s="1"/>
  <c r="M14" i="1" s="1"/>
  <c r="J2" i="1"/>
  <c r="M2" i="1" s="1"/>
  <c r="O25" i="2"/>
  <c r="O42" i="2"/>
  <c r="J19" i="1" s="1"/>
  <c r="M19" i="1" s="1"/>
  <c r="O30" i="2"/>
  <c r="J7" i="1" s="1"/>
  <c r="M7" i="1" s="1"/>
  <c r="O27" i="2"/>
  <c r="J4" i="1" s="1"/>
  <c r="M4" i="1" s="1"/>
  <c r="G21" i="1"/>
  <c r="G20" i="1"/>
  <c r="F22" i="1"/>
  <c r="F21" i="1"/>
  <c r="G22" i="1"/>
  <c r="F20" i="1"/>
  <c r="L25" i="2"/>
  <c r="L32" i="2"/>
  <c r="L34" i="2"/>
  <c r="L42" i="2"/>
  <c r="L40" i="2"/>
  <c r="L38" i="2"/>
  <c r="L36" i="2"/>
  <c r="H20" i="1"/>
  <c r="H22" i="1"/>
  <c r="J11" i="2"/>
  <c r="L11" i="2" s="1"/>
  <c r="J12" i="2"/>
  <c r="L12" i="2" s="1"/>
  <c r="J10" i="2"/>
  <c r="K10" i="2" s="1"/>
  <c r="H21" i="1"/>
  <c r="J13" i="2"/>
  <c r="K13" i="2" s="1"/>
  <c r="L9" i="2"/>
  <c r="K9" i="2"/>
  <c r="J8" i="2"/>
  <c r="M25" i="1" l="1"/>
  <c r="L25" i="1"/>
  <c r="L23" i="1"/>
  <c r="M23" i="1"/>
  <c r="M24" i="1"/>
  <c r="L24" i="1"/>
  <c r="J22" i="1"/>
  <c r="M22" i="1" s="1"/>
  <c r="J21" i="1"/>
  <c r="M21" i="1" s="1"/>
  <c r="K12" i="2"/>
  <c r="I20" i="1"/>
  <c r="L20" i="1" s="1"/>
  <c r="L13" i="2"/>
  <c r="K11" i="2"/>
  <c r="I22" i="1"/>
  <c r="L22" i="1" s="1"/>
  <c r="J20" i="1"/>
  <c r="M20" i="1" s="1"/>
  <c r="L10" i="2"/>
  <c r="I21" i="1"/>
  <c r="L21" i="1" s="1"/>
  <c r="K8" i="2"/>
  <c r="L8" i="2"/>
</calcChain>
</file>

<file path=xl/sharedStrings.xml><?xml version="1.0" encoding="utf-8"?>
<sst xmlns="http://schemas.openxmlformats.org/spreadsheetml/2006/main" count="134" uniqueCount="45">
  <si>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</si>
  <si>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</si>
  <si>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</si>
  <si>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</si>
  <si>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</si>
  <si>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</si>
  <si>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</si>
  <si>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</si>
  <si>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</si>
  <si>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</si>
  <si>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</si>
  <si>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</si>
  <si>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</si>
  <si>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</si>
  <si>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</si>
  <si>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</si>
  <si>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</si>
  <si>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</si>
  <si>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</si>
  <si>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</si>
  <si>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</si>
  <si>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</si>
  <si>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</si>
  <si>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</si>
  <si>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</si>
  <si>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</si>
  <si>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</si>
  <si>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</si>
  <si>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</si>
  <si>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</si>
  <si>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</si>
  <si>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</si>
  <si>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</si>
  <si>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</si>
  <si>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</si>
  <si>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</si>
  <si>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</si>
  <si>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</si>
  <si>
    <t>ci_lb_orig</t>
  </si>
  <si>
    <t>bound_multiplier</t>
  </si>
  <si>
    <t>proportion of new cases in population</t>
  </si>
  <si>
    <t>cumulative proportion of cases</t>
  </si>
  <si>
    <t>prevalence_incidental</t>
  </si>
  <si>
    <t>Suen 1974</t>
  </si>
  <si>
    <t>include_target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</si>
</sst>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  <xf numFmtId="11" fontId="1" fillId="0" borderId="0" xfId="0" applyNumberFormat="1" applyFont="1"/>
    <xf numFmtId="10" fontId="1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O25"/>
  <sheetViews>
    <sheetView tabSelected="1" zoomScale="142" workbookViewId="0"/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5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39</v>
      </c>
      <c r="L1" s="2" t="s">
        <v>36</v>
      </c>
      <c r="M1" s="2" t="s">
        <v>37</v>
      </c>
      <c r="N1" s="2" t="s">
        <v>6</v>
      </c>
      <c r="O1" s="1" t="s">
        <v>44</v>
      </c>
    </row>
    <row r="2" spans="1:15">
      <c r="A2" s="1" t="str">
        <f t="shared" ref="A2:A7" si="0">""&amp;B2&amp;"_"&amp;E2</f>
        <v>incidence_clin_2</v>
      </c>
      <c r="B2" s="1" t="s">
        <v>19</v>
      </c>
      <c r="C2" s="1">
        <v>0</v>
      </c>
      <c r="D2" s="1">
        <f t="shared" ref="D2" si="1">C3</f>
        <v>5</v>
      </c>
      <c r="E2" s="1">
        <f t="shared" ref="E2:E18" si="2">FLOOR(AVERAGE(C2,D2), 1)</f>
        <v>2</v>
      </c>
      <c r="F2" s="2">
        <f>INDEX(bounds!$24:$42,MATCH(targets!$A2,bounds!$A$24:$A$42,0), MATCH(F$1,bounds!$24:$24,0))</f>
        <v>10.087170893440002</v>
      </c>
      <c r="G2" s="2">
        <f>INDEX(bounds!$24:$42,MATCH(targets!$A2,bounds!$A$24:$A$42,0), MATCH(G$1,bounds!$24:$24,0))</f>
        <v>10087170.893440001</v>
      </c>
      <c r="H2" s="2">
        <f>INDEX(bounds!$24:$42,MATCH(targets!$A2,bounds!$A$24:$A$42,0), MATCH(H$1,bounds!$24:$24,0))</f>
        <v>0.1</v>
      </c>
      <c r="I2" s="2">
        <f>INDEX(bounds!$24:$42,MATCH(targets!$A2,bounds!$A$24:$A$42,0), MATCH(I$1,bounds!$24:$24,0))</f>
        <v>-1E-3</v>
      </c>
      <c r="J2" s="2">
        <f>INDEX(bounds!$24:$42,MATCH(targets!$A2,bounds!$A$24:$A$42,0), MATCH(J$1,bounds!$24:$24,0))</f>
        <v>0.36127483158541895</v>
      </c>
      <c r="K2" s="2">
        <v>3</v>
      </c>
      <c r="L2" s="2">
        <f t="shared" ref="L2:L22" si="3">IF(H2 - K2*(H2-I2) &lt;= 0, -0.001, H2 - K2*(H2-I2))</f>
        <v>-1E-3</v>
      </c>
      <c r="M2" s="2">
        <f t="shared" ref="M2:M22" si="4">H2 + K2*(J2-H2)</f>
        <v>0.88382449475625691</v>
      </c>
      <c r="N2" s="1" t="s">
        <v>20</v>
      </c>
      <c r="O2" s="1" t="b">
        <v>1</v>
      </c>
    </row>
    <row r="3" spans="1:15">
      <c r="A3" s="1" t="str">
        <f t="shared" si="0"/>
        <v>incidence_clin_7</v>
      </c>
      <c r="B3" s="1" t="s">
        <v>19</v>
      </c>
      <c r="C3" s="1">
        <v>5</v>
      </c>
      <c r="D3" s="1">
        <f>C4</f>
        <v>10</v>
      </c>
      <c r="E3" s="1">
        <f t="shared" si="2"/>
        <v>7</v>
      </c>
      <c r="F3" s="2">
        <f>INDEX(bounds!$24:$42,MATCH(targets!$A3,bounds!$A$24:$A$42,0), MATCH(F$1,bounds!$24:$24,0))</f>
        <v>11.734748512359999</v>
      </c>
      <c r="G3" s="2">
        <f>INDEX(bounds!$24:$42,MATCH(targets!$A3,bounds!$A$24:$A$42,0), MATCH(G$1,bounds!$24:$24,0))</f>
        <v>11734748.512359999</v>
      </c>
      <c r="H3" s="2">
        <f>INDEX(bounds!$24:$42,MATCH(targets!$A3,bounds!$A$24:$A$42,0), MATCH(H$1,bounds!$24:$24,0))</f>
        <v>0.1</v>
      </c>
      <c r="I3" s="2">
        <f>INDEX(bounds!$24:$42,MATCH(targets!$A3,bounds!$A$24:$A$42,0), MATCH(I$1,bounds!$24:$24,0))</f>
        <v>-1E-3</v>
      </c>
      <c r="J3" s="2">
        <f>INDEX(bounds!$24:$42,MATCH(targets!$A3,bounds!$A$24:$A$42,0), MATCH(J$1,bounds!$24:$24,0))</f>
        <v>0.34176539057413913</v>
      </c>
      <c r="K3" s="2">
        <v>3</v>
      </c>
      <c r="L3" s="2">
        <f t="shared" si="3"/>
        <v>-1E-3</v>
      </c>
      <c r="M3" s="2">
        <f t="shared" si="4"/>
        <v>0.82529617172241732</v>
      </c>
      <c r="N3" s="1" t="s">
        <v>20</v>
      </c>
      <c r="O3" s="1" t="b">
        <v>1</v>
      </c>
    </row>
    <row r="4" spans="1:15">
      <c r="A4" s="1" t="str">
        <f t="shared" si="0"/>
        <v>incidence_clin_12</v>
      </c>
      <c r="B4" s="1" t="s">
        <v>19</v>
      </c>
      <c r="C4" s="1">
        <v>10</v>
      </c>
      <c r="D4" s="1">
        <f t="shared" ref="D4:D17" si="5">C5</f>
        <v>15</v>
      </c>
      <c r="E4" s="1">
        <f t="shared" si="2"/>
        <v>12</v>
      </c>
      <c r="F4" s="2">
        <f>INDEX(bounds!$24:$42,MATCH(targets!$A4,bounds!$A$24:$A$42,0), MATCH(F$1,bounds!$24:$24,0))</f>
        <v>0</v>
      </c>
      <c r="G4" s="2">
        <f>INDEX(bounds!$24:$42,MATCH(targets!$A4,bounds!$A$24:$A$42,0), MATCH(G$1,bounds!$24:$24,0))</f>
        <v>12224672.231360001</v>
      </c>
      <c r="H4" s="2">
        <f>INDEX(bounds!$24:$42,MATCH(targets!$A4,bounds!$A$24:$A$42,0), MATCH(H$1,bounds!$24:$24,0))</f>
        <v>0</v>
      </c>
      <c r="I4" s="2">
        <f>INDEX(bounds!$24:$42,MATCH(targets!$A4,bounds!$A$24:$A$42,0), MATCH(I$1,bounds!$24:$24,0))</f>
        <v>-1E-3</v>
      </c>
      <c r="J4" s="2">
        <f>INDEX(bounds!$24:$42,MATCH(targets!$A4,bounds!$A$24:$A$42,0), MATCH(J$1,bounds!$24:$24,0))</f>
        <v>0.18182240036888692</v>
      </c>
      <c r="K4" s="2">
        <v>3</v>
      </c>
      <c r="L4" s="2">
        <f t="shared" si="3"/>
        <v>-1E-3</v>
      </c>
      <c r="M4" s="2">
        <f t="shared" si="4"/>
        <v>0.5454672011066608</v>
      </c>
      <c r="N4" s="1" t="s">
        <v>20</v>
      </c>
      <c r="O4" s="1" t="b">
        <v>1</v>
      </c>
    </row>
    <row r="5" spans="1:15">
      <c r="A5" s="1" t="str">
        <f t="shared" si="0"/>
        <v>incidence_clin_17</v>
      </c>
      <c r="B5" s="1" t="s">
        <v>19</v>
      </c>
      <c r="C5" s="1">
        <v>15</v>
      </c>
      <c r="D5" s="1">
        <f t="shared" si="5"/>
        <v>20</v>
      </c>
      <c r="E5" s="1">
        <f t="shared" si="2"/>
        <v>17</v>
      </c>
      <c r="F5" s="2">
        <f>INDEX(bounds!$24:$42,MATCH(targets!$A5,bounds!$A$24:$A$42,0), MATCH(F$1,bounds!$24:$24,0))</f>
        <v>11.213875953550001</v>
      </c>
      <c r="G5" s="2">
        <f>INDEX(bounds!$24:$42,MATCH(targets!$A5,bounds!$A$24:$A$42,0), MATCH(G$1,bounds!$24:$24,0))</f>
        <v>11213875.95355</v>
      </c>
      <c r="H5" s="2">
        <f>INDEX(bounds!$24:$42,MATCH(targets!$A5,bounds!$A$24:$A$42,0), MATCH(H$1,bounds!$24:$24,0))</f>
        <v>0.1</v>
      </c>
      <c r="I5" s="2">
        <f>INDEX(bounds!$24:$42,MATCH(targets!$A5,bounds!$A$24:$A$42,0), MATCH(I$1,bounds!$24:$24,0))</f>
        <v>-1E-3</v>
      </c>
      <c r="J5" s="2">
        <f>INDEX(bounds!$24:$42,MATCH(targets!$A5,bounds!$A$24:$A$42,0), MATCH(J$1,bounds!$24:$24,0))</f>
        <v>0.34466310103500203</v>
      </c>
      <c r="K5" s="2">
        <v>3</v>
      </c>
      <c r="L5" s="2">
        <f t="shared" si="3"/>
        <v>-1E-3</v>
      </c>
      <c r="M5" s="2">
        <f t="shared" si="4"/>
        <v>0.83398930310500607</v>
      </c>
      <c r="N5" s="1" t="s">
        <v>20</v>
      </c>
      <c r="O5" s="1" t="b">
        <v>1</v>
      </c>
    </row>
    <row r="6" spans="1:15">
      <c r="A6" s="1" t="str">
        <f t="shared" si="0"/>
        <v>incidence_clin_22</v>
      </c>
      <c r="B6" s="1" t="s">
        <v>19</v>
      </c>
      <c r="C6" s="1">
        <v>20</v>
      </c>
      <c r="D6" s="1">
        <f t="shared" si="5"/>
        <v>25</v>
      </c>
      <c r="E6" s="1">
        <f t="shared" si="2"/>
        <v>22</v>
      </c>
      <c r="F6" s="2">
        <f>INDEX(bounds!$24:$42,MATCH(targets!$A6,bounds!$A$24:$A$42,0), MATCH(F$1,bounds!$24:$24,0))</f>
        <v>28.879569311969998</v>
      </c>
      <c r="G6" s="2">
        <f>INDEX(bounds!$24:$42,MATCH(targets!$A6,bounds!$A$24:$A$42,0), MATCH(G$1,bounds!$24:$24,0))</f>
        <v>9626523.1039899997</v>
      </c>
      <c r="H6" s="2">
        <f>INDEX(bounds!$24:$42,MATCH(targets!$A6,bounds!$A$24:$A$42,0), MATCH(H$1,bounds!$24:$24,0))</f>
        <v>0.3</v>
      </c>
      <c r="I6" s="2">
        <f>INDEX(bounds!$24:$42,MATCH(targets!$A6,bounds!$A$24:$A$42,0), MATCH(I$1,bounds!$24:$24,0))</f>
        <v>-1E-3</v>
      </c>
      <c r="J6" s="2">
        <f>INDEX(bounds!$24:$42,MATCH(targets!$A6,bounds!$A$24:$A$42,0), MATCH(J$1,bounds!$24:$24,0))</f>
        <v>0.64601481946145045</v>
      </c>
      <c r="K6" s="2">
        <v>3</v>
      </c>
      <c r="L6" s="2">
        <f t="shared" si="3"/>
        <v>-1E-3</v>
      </c>
      <c r="M6" s="2">
        <f t="shared" si="4"/>
        <v>1.3380444583843514</v>
      </c>
      <c r="N6" s="1" t="s">
        <v>20</v>
      </c>
      <c r="O6" s="1" t="b">
        <v>1</v>
      </c>
    </row>
    <row r="7" spans="1:15">
      <c r="A7" s="1" t="str">
        <f t="shared" si="0"/>
        <v>incidence_clin_27</v>
      </c>
      <c r="B7" s="1" t="s">
        <v>19</v>
      </c>
      <c r="C7" s="1">
        <v>25</v>
      </c>
      <c r="D7" s="1">
        <f t="shared" si="5"/>
        <v>30</v>
      </c>
      <c r="E7" s="1">
        <f t="shared" si="2"/>
        <v>27</v>
      </c>
      <c r="F7" s="2">
        <f>INDEX(bounds!$24:$42,MATCH(targets!$A7,bounds!$A$24:$A$42,0), MATCH(F$1,bounds!$24:$24,0))</f>
        <v>39.624074444000001</v>
      </c>
      <c r="G7" s="2">
        <f>INDEX(bounds!$24:$42,MATCH(targets!$A7,bounds!$A$24:$A$42,0), MATCH(G$1,bounds!$24:$24,0))</f>
        <v>7924814.8888000008</v>
      </c>
      <c r="H7" s="2">
        <f>INDEX(bounds!$24:$42,MATCH(targets!$A7,bounds!$A$24:$A$42,0), MATCH(H$1,bounds!$24:$24,0))</f>
        <v>0.5</v>
      </c>
      <c r="I7" s="2">
        <f>INDEX(bounds!$24:$42,MATCH(targets!$A7,bounds!$A$24:$A$42,0), MATCH(I$1,bounds!$24:$24,0))</f>
        <v>-1E-3</v>
      </c>
      <c r="J7" s="2">
        <f>INDEX(bounds!$24:$42,MATCH(targets!$A7,bounds!$A$24:$A$42,0), MATCH(J$1,bounds!$24:$24,0))</f>
        <v>0.94989916767749982</v>
      </c>
      <c r="K7" s="2">
        <v>3</v>
      </c>
      <c r="L7" s="2">
        <f t="shared" si="3"/>
        <v>-1E-3</v>
      </c>
      <c r="M7" s="2">
        <f t="shared" si="4"/>
        <v>1.8496975030324996</v>
      </c>
      <c r="N7" s="1" t="s">
        <v>20</v>
      </c>
      <c r="O7" s="1" t="b">
        <v>1</v>
      </c>
    </row>
    <row r="8" spans="1:15">
      <c r="A8" s="1" t="str">
        <f t="shared" ref="A8:A18" si="6">""&amp;B8&amp;"_"&amp;E8</f>
        <v>incidence_clin_32</v>
      </c>
      <c r="B8" s="1" t="s">
        <v>19</v>
      </c>
      <c r="C8" s="1">
        <v>30</v>
      </c>
      <c r="D8" s="1">
        <f t="shared" si="5"/>
        <v>35</v>
      </c>
      <c r="E8" s="1">
        <f t="shared" si="2"/>
        <v>32</v>
      </c>
      <c r="F8" s="2">
        <f>INDEX(bounds!$24:$42,MATCH(targets!$A8,bounds!$A$24:$A$42,0), MATCH(F$1,bounds!$24:$24,0))</f>
        <v>73.935344383010005</v>
      </c>
      <c r="G8" s="2">
        <f>INDEX(bounds!$24:$42,MATCH(targets!$A8,bounds!$A$24:$A$42,0), MATCH(G$1,bounds!$24:$24,0))</f>
        <v>6721394.9439099999</v>
      </c>
      <c r="H8" s="2">
        <f>INDEX(bounds!$24:$42,MATCH(targets!$A8,bounds!$A$24:$A$42,0), MATCH(H$1,bounds!$24:$24,0))</f>
        <v>1.1000000000000001</v>
      </c>
      <c r="I8" s="2">
        <f>INDEX(bounds!$24:$42,MATCH(targets!$A8,bounds!$A$24:$A$42,0), MATCH(I$1,bounds!$24:$24,0))</f>
        <v>-1E-3</v>
      </c>
      <c r="J8" s="2">
        <f>INDEX(bounds!$24:$42,MATCH(targets!$A8,bounds!$A$24:$A$42,0), MATCH(J$1,bounds!$24:$24,0))</f>
        <v>1.7431061741782465</v>
      </c>
      <c r="K8" s="2">
        <v>3</v>
      </c>
      <c r="L8" s="2">
        <f t="shared" si="3"/>
        <v>-1E-3</v>
      </c>
      <c r="M8" s="2">
        <f t="shared" si="4"/>
        <v>3.0293185225347394</v>
      </c>
      <c r="N8" s="1" t="s">
        <v>20</v>
      </c>
      <c r="O8" s="1" t="b">
        <v>1</v>
      </c>
    </row>
    <row r="9" spans="1:15">
      <c r="A9" s="1" t="str">
        <f t="shared" si="6"/>
        <v>incidence_clin_37</v>
      </c>
      <c r="B9" s="1" t="s">
        <v>19</v>
      </c>
      <c r="C9" s="1">
        <v>35</v>
      </c>
      <c r="D9" s="1">
        <f t="shared" si="5"/>
        <v>40</v>
      </c>
      <c r="E9" s="1">
        <f t="shared" si="2"/>
        <v>37</v>
      </c>
      <c r="F9" s="2">
        <f>INDEX(bounds!$24:$42,MATCH(targets!$A9,bounds!$A$24:$A$42,0), MATCH(F$1,bounds!$24:$24,0))</f>
        <v>143.68291641088004</v>
      </c>
      <c r="G9" s="2">
        <f>INDEX(bounds!$24:$42,MATCH(targets!$A9,bounds!$A$24:$A$42,0), MATCH(G$1,bounds!$24:$24,0))</f>
        <v>6531041.6550400006</v>
      </c>
      <c r="H9" s="2">
        <f>INDEX(bounds!$24:$42,MATCH(targets!$A9,bounds!$A$24:$A$42,0), MATCH(H$1,bounds!$24:$24,0))</f>
        <v>2.2000000000000002</v>
      </c>
      <c r="I9" s="2">
        <f>INDEX(bounds!$24:$42,MATCH(targets!$A9,bounds!$A$24:$A$42,0), MATCH(I$1,bounds!$24:$24,0))</f>
        <v>1.5096614770209527</v>
      </c>
      <c r="J9" s="2">
        <f>INDEX(bounds!$24:$42,MATCH(targets!$A9,bounds!$A$24:$A$42,0), MATCH(J$1,bounds!$24:$24,0))</f>
        <v>3.0550947154719745</v>
      </c>
      <c r="K9" s="2">
        <v>3</v>
      </c>
      <c r="L9" s="2">
        <f t="shared" si="3"/>
        <v>0.1289844310628574</v>
      </c>
      <c r="M9" s="2">
        <f t="shared" si="4"/>
        <v>4.7652841464159232</v>
      </c>
      <c r="N9" s="1" t="s">
        <v>20</v>
      </c>
      <c r="O9" s="1" t="b">
        <v>1</v>
      </c>
    </row>
    <row r="10" spans="1:15">
      <c r="A10" s="1" t="str">
        <f t="shared" si="6"/>
        <v>incidence_clin_42</v>
      </c>
      <c r="B10" s="1" t="s">
        <v>19</v>
      </c>
      <c r="C10" s="1">
        <v>40</v>
      </c>
      <c r="D10" s="1">
        <f t="shared" si="5"/>
        <v>45</v>
      </c>
      <c r="E10" s="1">
        <f t="shared" si="2"/>
        <v>42</v>
      </c>
      <c r="F10" s="2">
        <f>INDEX(bounds!$24:$42,MATCH(targets!$A10,bounds!$A$24:$A$42,0), MATCH(F$1,bounds!$24:$24,0))</f>
        <v>302.93943240646001</v>
      </c>
      <c r="G10" s="2">
        <f>INDEX(bounds!$24:$42,MATCH(targets!$A10,bounds!$A$24:$A$42,0), MATCH(G$1,bounds!$24:$24,0))</f>
        <v>7045103.0792200007</v>
      </c>
      <c r="H10" s="2">
        <f>INDEX(bounds!$24:$42,MATCH(targets!$A10,bounds!$A$24:$A$42,0), MATCH(H$1,bounds!$24:$24,0))</f>
        <v>4.3</v>
      </c>
      <c r="I10" s="2">
        <f>INDEX(bounds!$24:$42,MATCH(targets!$A10,bounds!$A$24:$A$42,0), MATCH(I$1,bounds!$24:$24,0))</f>
        <v>3.3552871864818119</v>
      </c>
      <c r="J10" s="2">
        <f>INDEX(bounds!$24:$42,MATCH(targets!$A10,bounds!$A$24:$A$42,0), MATCH(J$1,bounds!$24:$24,0))</f>
        <v>5.3927965254376069</v>
      </c>
      <c r="K10" s="2">
        <v>3</v>
      </c>
      <c r="L10" s="2">
        <f t="shared" si="3"/>
        <v>1.4658615594454361</v>
      </c>
      <c r="M10" s="2">
        <f t="shared" si="4"/>
        <v>7.5783895763128211</v>
      </c>
      <c r="N10" s="1" t="s">
        <v>20</v>
      </c>
      <c r="O10" s="1" t="b">
        <v>1</v>
      </c>
    </row>
    <row r="11" spans="1:15">
      <c r="A11" s="1" t="str">
        <f t="shared" si="6"/>
        <v>incidence_clin_47</v>
      </c>
      <c r="B11" s="1" t="s">
        <v>19</v>
      </c>
      <c r="C11" s="1">
        <v>45</v>
      </c>
      <c r="D11" s="1">
        <f t="shared" si="5"/>
        <v>50</v>
      </c>
      <c r="E11" s="1">
        <f t="shared" si="2"/>
        <v>47</v>
      </c>
      <c r="F11" s="2">
        <f>INDEX(bounds!$24:$42,MATCH(targets!$A11,bounds!$A$24:$A$42,0), MATCH(F$1,bounds!$24:$24,0))</f>
        <v>676.82244818309994</v>
      </c>
      <c r="G11" s="2">
        <f>INDEX(bounds!$24:$42,MATCH(targets!$A11,bounds!$A$24:$A$42,0), MATCH(G$1,bounds!$24:$24,0))</f>
        <v>7124446.8229799997</v>
      </c>
      <c r="H11" s="2">
        <f>INDEX(bounds!$24:$42,MATCH(targets!$A11,bounds!$A$24:$A$42,0), MATCH(H$1,bounds!$24:$24,0))</f>
        <v>9.5</v>
      </c>
      <c r="I11" s="2">
        <f>INDEX(bounds!$24:$42,MATCH(targets!$A11,bounds!$A$24:$A$42,0), MATCH(I$1,bounds!$24:$24,0))</f>
        <v>8.0953120007060804</v>
      </c>
      <c r="J11" s="2">
        <f>INDEX(bounds!$24:$42,MATCH(targets!$A11,bounds!$A$24:$A$42,0), MATCH(J$1,bounds!$24:$24,0))</f>
        <v>11.050308439923784</v>
      </c>
      <c r="K11" s="2">
        <v>3</v>
      </c>
      <c r="L11" s="2">
        <f t="shared" si="3"/>
        <v>5.2859360021182411</v>
      </c>
      <c r="M11" s="2">
        <f t="shared" si="4"/>
        <v>14.150925319771352</v>
      </c>
      <c r="N11" s="1" t="s">
        <v>20</v>
      </c>
      <c r="O11" s="1" t="b">
        <v>1</v>
      </c>
    </row>
    <row r="12" spans="1:15">
      <c r="A12" s="1" t="str">
        <f t="shared" si="6"/>
        <v>incidence_clin_52</v>
      </c>
      <c r="B12" s="1" t="s">
        <v>19</v>
      </c>
      <c r="C12" s="1">
        <v>50</v>
      </c>
      <c r="D12" s="1">
        <f t="shared" si="5"/>
        <v>55</v>
      </c>
      <c r="E12" s="1">
        <f t="shared" si="2"/>
        <v>52</v>
      </c>
      <c r="F12" s="2">
        <f>INDEX(bounds!$24:$42,MATCH(targets!$A12,bounds!$A$24:$A$42,0), MATCH(F$1,bounds!$24:$24,0))</f>
        <v>1207.9553240984499</v>
      </c>
      <c r="G12" s="2">
        <f>INDEX(bounds!$24:$42,MATCH(targets!$A12,bounds!$A$24:$A$42,0), MATCH(G$1,bounds!$24:$24,0))</f>
        <v>6529488.2383699995</v>
      </c>
      <c r="H12" s="2">
        <f>INDEX(bounds!$24:$42,MATCH(targets!$A12,bounds!$A$24:$A$42,0), MATCH(H$1,bounds!$24:$24,0))</f>
        <v>18.5</v>
      </c>
      <c r="I12" s="2">
        <f>INDEX(bounds!$24:$42,MATCH(targets!$A12,bounds!$A$24:$A$42,0), MATCH(I$1,bounds!$24:$24,0))</f>
        <v>16.450899786160679</v>
      </c>
      <c r="J12" s="2">
        <f>INDEX(bounds!$24:$42,MATCH(targets!$A12,bounds!$A$24:$A$42,0), MATCH(J$1,bounds!$24:$24,0))</f>
        <v>20.708865931030658</v>
      </c>
      <c r="K12" s="2">
        <v>3</v>
      </c>
      <c r="L12" s="2">
        <f t="shared" si="3"/>
        <v>12.352699358482038</v>
      </c>
      <c r="M12" s="2">
        <f t="shared" si="4"/>
        <v>25.126597793091975</v>
      </c>
      <c r="N12" s="1" t="s">
        <v>20</v>
      </c>
      <c r="O12" s="1" t="b">
        <v>1</v>
      </c>
    </row>
    <row r="13" spans="1:15">
      <c r="A13" s="1" t="str">
        <f t="shared" si="6"/>
        <v>incidence_clin_57</v>
      </c>
      <c r="B13" s="1" t="s">
        <v>19</v>
      </c>
      <c r="C13" s="1">
        <v>55</v>
      </c>
      <c r="D13" s="1">
        <f t="shared" si="5"/>
        <v>60</v>
      </c>
      <c r="E13" s="1">
        <f t="shared" si="2"/>
        <v>57</v>
      </c>
      <c r="F13" s="2">
        <f>INDEX(bounds!$24:$42,MATCH(targets!$A13,bounds!$A$24:$A$42,0), MATCH(F$1,bounds!$24:$24,0))</f>
        <v>2011.48471233549</v>
      </c>
      <c r="G13" s="2">
        <f>INDEX(bounds!$24:$42,MATCH(targets!$A13,bounds!$A$24:$A$42,0), MATCH(G$1,bounds!$24:$24,0))</f>
        <v>5864386.9164300002</v>
      </c>
      <c r="H13" s="2">
        <f>INDEX(bounds!$24:$42,MATCH(targets!$A13,bounds!$A$24:$A$42,0), MATCH(H$1,bounds!$24:$24,0))</f>
        <v>34.299999999999997</v>
      </c>
      <c r="I13" s="2">
        <f>INDEX(bounds!$24:$42,MATCH(targets!$A13,bounds!$A$24:$A$42,0), MATCH(I$1,bounds!$24:$24,0))</f>
        <v>31.355881788353273</v>
      </c>
      <c r="J13" s="2">
        <f>INDEX(bounds!$24:$42,MATCH(targets!$A13,bounds!$A$24:$A$42,0), MATCH(J$1,bounds!$24:$24,0))</f>
        <v>37.418662813000019</v>
      </c>
      <c r="K13" s="2">
        <v>3</v>
      </c>
      <c r="L13" s="2">
        <f t="shared" si="3"/>
        <v>25.467645365059823</v>
      </c>
      <c r="M13" s="2">
        <f t="shared" si="4"/>
        <v>43.655988439000062</v>
      </c>
      <c r="N13" s="1" t="s">
        <v>20</v>
      </c>
      <c r="O13" s="1" t="b">
        <v>1</v>
      </c>
    </row>
    <row r="14" spans="1:15">
      <c r="A14" s="1" t="str">
        <f t="shared" si="6"/>
        <v>incidence_clin_62</v>
      </c>
      <c r="B14" s="1" t="s">
        <v>19</v>
      </c>
      <c r="C14" s="1">
        <v>60</v>
      </c>
      <c r="D14" s="1">
        <f t="shared" si="5"/>
        <v>65</v>
      </c>
      <c r="E14" s="1">
        <f t="shared" si="2"/>
        <v>62</v>
      </c>
      <c r="F14" s="2">
        <f>INDEX(bounds!$24:$42,MATCH(targets!$A14,bounds!$A$24:$A$42,0), MATCH(F$1,bounds!$24:$24,0))</f>
        <v>2680.3830625913301</v>
      </c>
      <c r="G14" s="2">
        <f>INDEX(bounds!$24:$42,MATCH(targets!$A14,bounds!$A$24:$A$42,0), MATCH(G$1,bounds!$24:$24,0))</f>
        <v>5066886.6967700003</v>
      </c>
      <c r="H14" s="2">
        <f>INDEX(bounds!$24:$42,MATCH(targets!$A14,bounds!$A$24:$A$42,0), MATCH(H$1,bounds!$24:$24,0))</f>
        <v>52.9</v>
      </c>
      <c r="I14" s="2">
        <f>INDEX(bounds!$24:$42,MATCH(targets!$A14,bounds!$A$24:$A$42,0), MATCH(I$1,bounds!$24:$24,0))</f>
        <v>48.962568981583438</v>
      </c>
      <c r="J14" s="2">
        <f>INDEX(bounds!$24:$42,MATCH(targets!$A14,bounds!$A$24:$A$42,0), MATCH(J$1,bounds!$24:$24,0))</f>
        <v>57.03248272374185</v>
      </c>
      <c r="K14" s="2">
        <v>3</v>
      </c>
      <c r="L14" s="2">
        <f t="shared" si="3"/>
        <v>41.087706944750316</v>
      </c>
      <c r="M14" s="2">
        <f t="shared" si="4"/>
        <v>65.297448171225554</v>
      </c>
      <c r="N14" s="1" t="s">
        <v>20</v>
      </c>
      <c r="O14" s="1" t="b">
        <v>1</v>
      </c>
    </row>
    <row r="15" spans="1:15">
      <c r="A15" s="1" t="str">
        <f t="shared" si="6"/>
        <v>incidence_clin_67</v>
      </c>
      <c r="B15" s="1" t="s">
        <v>19</v>
      </c>
      <c r="C15" s="1">
        <v>65</v>
      </c>
      <c r="D15" s="1">
        <f t="shared" si="5"/>
        <v>70</v>
      </c>
      <c r="E15" s="1">
        <f t="shared" si="2"/>
        <v>67</v>
      </c>
      <c r="F15" s="2">
        <f>INDEX(bounds!$24:$42,MATCH(targets!$A15,bounds!$A$24:$A$42,0), MATCH(F$1,bounds!$24:$24,0))</f>
        <v>3404.15346684312</v>
      </c>
      <c r="G15" s="2">
        <f>INDEX(bounds!$24:$42,MATCH(targets!$A15,bounds!$A$24:$A$42,0), MATCH(G$1,bounds!$24:$24,0))</f>
        <v>4111296.4575399999</v>
      </c>
      <c r="H15" s="2">
        <f>INDEX(bounds!$24:$42,MATCH(targets!$A15,bounds!$A$24:$A$42,0), MATCH(H$1,bounds!$24:$24,0))</f>
        <v>82.8</v>
      </c>
      <c r="I15" s="2">
        <f>INDEX(bounds!$24:$42,MATCH(targets!$A15,bounds!$A$24:$A$42,0), MATCH(I$1,bounds!$24:$24,0))</f>
        <v>77.342309223810418</v>
      </c>
      <c r="J15" s="2">
        <f>INDEX(bounds!$24:$42,MATCH(targets!$A15,bounds!$A$24:$A$42,0), MATCH(J$1,bounds!$24:$24,0))</f>
        <v>88.507822558360061</v>
      </c>
      <c r="K15" s="2">
        <v>3</v>
      </c>
      <c r="L15" s="2">
        <f t="shared" si="3"/>
        <v>66.426927671431258</v>
      </c>
      <c r="M15" s="2">
        <f t="shared" si="4"/>
        <v>99.92346767508019</v>
      </c>
      <c r="N15" s="1" t="s">
        <v>20</v>
      </c>
      <c r="O15" s="1" t="b">
        <v>1</v>
      </c>
    </row>
    <row r="16" spans="1:15">
      <c r="A16" s="1" t="str">
        <f t="shared" si="6"/>
        <v>incidence_clin_72</v>
      </c>
      <c r="B16" s="1" t="s">
        <v>19</v>
      </c>
      <c r="C16" s="1">
        <v>70</v>
      </c>
      <c r="D16" s="1">
        <f t="shared" si="5"/>
        <v>75</v>
      </c>
      <c r="E16" s="1">
        <f t="shared" si="2"/>
        <v>72</v>
      </c>
      <c r="F16" s="2">
        <f>INDEX(bounds!$24:$42,MATCH(targets!$A16,bounds!$A$24:$A$42,0), MATCH(F$1,bounds!$24:$24,0))</f>
        <v>3492.4151367184104</v>
      </c>
      <c r="G16" s="2">
        <f>INDEX(bounds!$24:$42,MATCH(targets!$A16,bounds!$A$24:$A$42,0), MATCH(G$1,bounds!$24:$24,0))</f>
        <v>3201113.7825100003</v>
      </c>
      <c r="H16" s="2">
        <f>INDEX(bounds!$24:$42,MATCH(targets!$A16,bounds!$A$24:$A$42,0), MATCH(H$1,bounds!$24:$24,0))</f>
        <v>109.1</v>
      </c>
      <c r="I16" s="2">
        <f>INDEX(bounds!$24:$42,MATCH(targets!$A16,bounds!$A$24:$A$42,0), MATCH(I$1,bounds!$24:$24,0))</f>
        <v>102.00634410001473</v>
      </c>
      <c r="J16" s="2">
        <f>INDEX(bounds!$24:$42,MATCH(targets!$A16,bounds!$A$24:$A$42,0), MATCH(J$1,bounds!$24:$24,0))</f>
        <v>116.51359947428682</v>
      </c>
      <c r="K16" s="2">
        <v>3</v>
      </c>
      <c r="L16" s="2">
        <f t="shared" si="3"/>
        <v>87.819032300044199</v>
      </c>
      <c r="M16" s="2">
        <f t="shared" si="4"/>
        <v>131.34079842286047</v>
      </c>
      <c r="N16" s="1" t="s">
        <v>20</v>
      </c>
      <c r="O16" s="1" t="b">
        <v>1</v>
      </c>
    </row>
    <row r="17" spans="1:15">
      <c r="A17" s="1" t="str">
        <f t="shared" si="6"/>
        <v>incidence_clin_77</v>
      </c>
      <c r="B17" s="1" t="s">
        <v>19</v>
      </c>
      <c r="C17" s="1">
        <v>75</v>
      </c>
      <c r="D17" s="1">
        <f t="shared" si="5"/>
        <v>80</v>
      </c>
      <c r="E17" s="1">
        <f t="shared" si="2"/>
        <v>77</v>
      </c>
      <c r="F17" s="2">
        <f>INDEX(bounds!$24:$42,MATCH(targets!$A17,bounds!$A$24:$A$42,0), MATCH(F$1,bounds!$24:$24,0))</f>
        <v>2981.061795768579</v>
      </c>
      <c r="G17" s="2">
        <f>INDEX(bounds!$24:$42,MATCH(targets!$A17,bounds!$A$24:$A$42,0), MATCH(G$1,bounds!$24:$24,0))</f>
        <v>2254963.5368899996</v>
      </c>
      <c r="H17" s="2">
        <f>INDEX(bounds!$24:$42,MATCH(targets!$A17,bounds!$A$24:$A$42,0), MATCH(H$1,bounds!$24:$24,0))</f>
        <v>132.19999999999999</v>
      </c>
      <c r="I17" s="2">
        <f>INDEX(bounds!$24:$42,MATCH(targets!$A17,bounds!$A$24:$A$42,0), MATCH(I$1,bounds!$24:$24,0))</f>
        <v>122.92121750008623</v>
      </c>
      <c r="J17" s="2">
        <f>INDEX(bounds!$24:$42,MATCH(targets!$A17,bounds!$A$24:$A$42,0), MATCH(J$1,bounds!$24:$24,0))</f>
        <v>141.91891919184286</v>
      </c>
      <c r="K17" s="2">
        <v>3</v>
      </c>
      <c r="L17" s="2">
        <f t="shared" si="3"/>
        <v>104.36365250025871</v>
      </c>
      <c r="M17" s="2">
        <f t="shared" si="4"/>
        <v>161.3567575755286</v>
      </c>
      <c r="N17" s="1" t="s">
        <v>20</v>
      </c>
      <c r="O17" s="1" t="b">
        <v>1</v>
      </c>
    </row>
    <row r="18" spans="1:15">
      <c r="A18" s="1" t="str">
        <f t="shared" si="6"/>
        <v>incidence_clin_82</v>
      </c>
      <c r="B18" s="1" t="s">
        <v>19</v>
      </c>
      <c r="C18" s="1">
        <v>80</v>
      </c>
      <c r="D18" s="1">
        <v>85</v>
      </c>
      <c r="E18" s="1">
        <f t="shared" si="2"/>
        <v>82</v>
      </c>
      <c r="F18" s="2">
        <f>INDEX(bounds!$24:$42,MATCH(targets!$A18,bounds!$A$24:$A$42,0), MATCH(F$1,bounds!$24:$24,0))</f>
        <v>2005.43857566867</v>
      </c>
      <c r="G18" s="2">
        <f>INDEX(bounds!$24:$42,MATCH(targets!$A18,bounds!$A$24:$A$42,0), MATCH(G$1,bounds!$24:$24,0))</f>
        <v>1343227.4451899999</v>
      </c>
      <c r="H18" s="2">
        <f>INDEX(bounds!$24:$42,MATCH(targets!$A18,bounds!$A$24:$A$42,0), MATCH(H$1,bounds!$24:$24,0))</f>
        <v>149.30000000000001</v>
      </c>
      <c r="I18" s="2">
        <f>INDEX(bounds!$24:$42,MATCH(targets!$A18,bounds!$A$24:$A$42,0), MATCH(I$1,bounds!$24:$24,0))</f>
        <v>136.61155641874043</v>
      </c>
      <c r="J18" s="2">
        <f>INDEX(bounds!$24:$42,MATCH(targets!$A18,bounds!$A$24:$A$42,0), MATCH(J$1,bounds!$24:$24,0))</f>
        <v>162.74445396561978</v>
      </c>
      <c r="K18" s="2">
        <v>3</v>
      </c>
      <c r="L18" s="2">
        <f t="shared" si="3"/>
        <v>111.23466925622128</v>
      </c>
      <c r="M18" s="2">
        <f t="shared" si="4"/>
        <v>189.63336189685933</v>
      </c>
      <c r="N18" s="1" t="s">
        <v>20</v>
      </c>
      <c r="O18" s="1" t="b">
        <v>1</v>
      </c>
    </row>
    <row r="19" spans="1:15">
      <c r="A19" s="1" t="str">
        <f t="shared" ref="A19" si="7">""&amp;B19&amp;"_"&amp;E19</f>
        <v>incidence_clin_92</v>
      </c>
      <c r="B19" s="1" t="s">
        <v>19</v>
      </c>
      <c r="C19" s="1">
        <v>85</v>
      </c>
      <c r="D19" s="1">
        <v>100</v>
      </c>
      <c r="E19" s="1">
        <f t="shared" ref="E19" si="8">FLOOR(AVERAGE(C19,D19), 1)</f>
        <v>92</v>
      </c>
      <c r="F19" s="2">
        <f>INDEX(bounds!$24:$42,MATCH(targets!$A19,bounds!$A$24:$A$42,0), MATCH(F$1,bounds!$24:$24,0))</f>
        <v>1258.9121706180499</v>
      </c>
      <c r="G19" s="2">
        <f>INDEX(bounds!$24:$42,MATCH(targets!$A19,bounds!$A$24:$A$42,0), MATCH(G$1,bounds!$24:$24,0))</f>
        <v>888434.84165000007</v>
      </c>
      <c r="H19" s="2">
        <f>INDEX(bounds!$24:$42,MATCH(targets!$A19,bounds!$A$24:$A$42,0), MATCH(H$1,bounds!$24:$24,0))</f>
        <v>141.69999999999999</v>
      </c>
      <c r="I19" s="2">
        <f>INDEX(bounds!$24:$42,MATCH(targets!$A19,bounds!$A$24:$A$42,0), MATCH(I$1,bounds!$24:$24,0))</f>
        <v>126.59273939334641</v>
      </c>
      <c r="J19" s="2">
        <f>INDEX(bounds!$24:$42,MATCH(targets!$A19,bounds!$A$24:$A$42,0), MATCH(J$1,bounds!$24:$24,0))</f>
        <v>157.89999500379088</v>
      </c>
      <c r="K19" s="2">
        <v>3</v>
      </c>
      <c r="L19" s="2">
        <f t="shared" si="3"/>
        <v>96.378218180039241</v>
      </c>
      <c r="M19" s="2">
        <f t="shared" si="4"/>
        <v>190.29998501137266</v>
      </c>
      <c r="N19" s="1" t="s">
        <v>20</v>
      </c>
      <c r="O19" s="1" t="b">
        <v>1</v>
      </c>
    </row>
    <row r="20" spans="1:15">
      <c r="A20" s="1" t="str">
        <f t="shared" ref="A20:A23" si="9">""&amp;B20&amp;"_"&amp;E20</f>
        <v>stage_distr_1</v>
      </c>
      <c r="B20" s="1" t="s">
        <v>8</v>
      </c>
      <c r="E20" s="1">
        <v>1</v>
      </c>
      <c r="F20" s="2">
        <f>INDEX(bounds!$A$7:$L$1048576,MATCH(targets!$A20,bounds!$A$7:$A$1048576,0), MATCH(F$1,bounds!$7:$7,0))</f>
        <v>21522.9</v>
      </c>
      <c r="G20" s="2">
        <f>INDEX(bounds!$A$7:$L$1048576,MATCH(targets!$A20,bounds!$A$7:$A$1048576,0), MATCH(G$1,bounds!$7:$7,0))</f>
        <v>27630.75</v>
      </c>
      <c r="H20" s="2">
        <f>INDEX(bounds!$A$7:$L$1048576,MATCH(targets!$A20,bounds!$A$7:$A$1048576,0), MATCH(H$1,bounds!$7:$7,0))</f>
        <v>0.77894736842105272</v>
      </c>
      <c r="I20" s="2">
        <f>INDEX(bounds!$A$7:$L$1048576,MATCH(targets!$A20,bounds!$A$7:$A$1048576,0), MATCH(I$1,bounds!$7:$7,0))</f>
        <v>0.769196681186881</v>
      </c>
      <c r="J20" s="2">
        <f>INDEX(bounds!$A$7:$L$1048576,MATCH(targets!$A20,bounds!$A$7:$A$1048576,0), MATCH(J$1,bounds!$7:$7,0))</f>
        <v>0.78862050322746191</v>
      </c>
      <c r="K20" s="2">
        <v>3</v>
      </c>
      <c r="L20" s="2">
        <f t="shared" si="3"/>
        <v>0.74969530671853757</v>
      </c>
      <c r="M20" s="2">
        <f t="shared" si="4"/>
        <v>0.80796677284028029</v>
      </c>
      <c r="N20" s="1" t="s">
        <v>20</v>
      </c>
      <c r="O20" s="1" t="b">
        <v>1</v>
      </c>
    </row>
    <row r="21" spans="1:15">
      <c r="A21" s="1" t="str">
        <f t="shared" si="9"/>
        <v>stage_distr_2</v>
      </c>
      <c r="B21" s="1" t="s">
        <v>8</v>
      </c>
      <c r="E21" s="1">
        <v>2</v>
      </c>
      <c r="F21" s="2">
        <f>INDEX(bounds!$A$7:$L$1048576,MATCH(targets!$A21,bounds!$A$7:$A$1048576,0), MATCH(F$1,bounds!$7:$7,0))</f>
        <v>5235.3</v>
      </c>
      <c r="G21" s="2">
        <f>INDEX(bounds!$A$7:$L$1048576,MATCH(targets!$A21,bounds!$A$7:$A$1048576,0), MATCH(G$1,bounds!$7:$7,0))</f>
        <v>27630.75</v>
      </c>
      <c r="H21" s="2">
        <f>INDEX(bounds!$A$7:$L$1048576,MATCH(targets!$A21,bounds!$A$7:$A$1048576,0), MATCH(H$1,bounds!$7:$7,0))</f>
        <v>0.18947368421052632</v>
      </c>
      <c r="I21" s="2">
        <f>INDEX(bounds!$A$7:$L$1048576,MATCH(targets!$A21,bounds!$A$7:$A$1048576,0), MATCH(I$1,bounds!$7:$7,0))</f>
        <v>0.18034480649920773</v>
      </c>
      <c r="J21" s="2">
        <f>INDEX(bounds!$A$7:$L$1048576,MATCH(targets!$A21,bounds!$A$7:$A$1048576,0), MATCH(J$1,bounds!$7:$7,0))</f>
        <v>0.19868889386973168</v>
      </c>
      <c r="K21" s="2">
        <v>3</v>
      </c>
      <c r="L21" s="2">
        <f t="shared" si="3"/>
        <v>0.16208705107657054</v>
      </c>
      <c r="M21" s="2">
        <f t="shared" si="4"/>
        <v>0.2171193131881424</v>
      </c>
      <c r="N21" s="1" t="s">
        <v>20</v>
      </c>
      <c r="O21" s="1" t="b">
        <v>1</v>
      </c>
    </row>
    <row r="22" spans="1:15">
      <c r="A22" s="1" t="str">
        <f t="shared" si="9"/>
        <v>stage_distr_3</v>
      </c>
      <c r="B22" s="1" t="s">
        <v>8</v>
      </c>
      <c r="E22" s="1">
        <v>3</v>
      </c>
      <c r="F22" s="2">
        <f>INDEX(bounds!$A$7:$L$1048576,MATCH(targets!$A22,bounds!$A$7:$A$1048576,0), MATCH(F$1,bounds!$7:$7,0))</f>
        <v>872.55</v>
      </c>
      <c r="G22" s="2">
        <f>INDEX(bounds!$A$7:$L$1048576,MATCH(targets!$A22,bounds!$A$7:$A$1048576,0), MATCH(G$1,bounds!$7:$7,0))</f>
        <v>27630.75</v>
      </c>
      <c r="H22" s="2">
        <f>INDEX(bounds!$A$7:$L$1048576,MATCH(targets!$A22,bounds!$A$7:$A$1048576,0), MATCH(H$1,bounds!$7:$7,0))</f>
        <v>3.1578947368421054E-2</v>
      </c>
      <c r="I22" s="2">
        <f>INDEX(bounds!$A$7:$L$1048576,MATCH(targets!$A22,bounds!$A$7:$A$1048576,0), MATCH(I$1,bounds!$7:$7,0))</f>
        <v>2.7549225740961719E-2</v>
      </c>
      <c r="J22" s="2">
        <f>INDEX(bounds!$A$7:$L$1048576,MATCH(targets!$A22,bounds!$A$7:$A$1048576,0), MATCH(J$1,bounds!$7:$7,0))</f>
        <v>3.5738898544387512E-2</v>
      </c>
      <c r="K22" s="2">
        <v>3</v>
      </c>
      <c r="L22" s="2">
        <f t="shared" si="3"/>
        <v>1.948978248604305E-2</v>
      </c>
      <c r="M22" s="2">
        <f t="shared" si="4"/>
        <v>4.405880089632043E-2</v>
      </c>
      <c r="N22" s="1" t="s">
        <v>20</v>
      </c>
      <c r="O22" s="1" t="b">
        <v>1</v>
      </c>
    </row>
    <row r="23" spans="1:15">
      <c r="A23" s="1" t="str">
        <f t="shared" si="9"/>
        <v>prevalence_incidental_71</v>
      </c>
      <c r="B23" s="1" t="s">
        <v>42</v>
      </c>
      <c r="C23" s="1">
        <v>66</v>
      </c>
      <c r="D23" s="1">
        <f>C23+10</f>
        <v>76</v>
      </c>
      <c r="E23" s="1">
        <f t="shared" ref="E23:E25" si="10">FLOOR(AVERAGE(C23,D23), 1)</f>
        <v>71</v>
      </c>
      <c r="F23" s="2">
        <f>INDEX(bounds!$A$7:$L$1048576,MATCH(targets!$A23,bounds!$A$7:$A$1048576,0), MATCH(F$1,bounds!$7:$7,0))</f>
        <v>1</v>
      </c>
      <c r="G23" s="2">
        <f>INDEX(bounds!$A$7:$L$1048576,MATCH(targets!$A23,bounds!$A$7:$A$1048576,0), MATCH(G$1,bounds!$7:$7,0))</f>
        <v>1810</v>
      </c>
      <c r="H23" s="2">
        <f>INDEX(bounds!$A$7:$L$1048576,MATCH(targets!$A23,bounds!$A$7:$A$1048576,0), MATCH(H$1,bounds!$7:$7,0))</f>
        <v>5.5248618784530391E-4</v>
      </c>
      <c r="I23" s="2">
        <f>INDEX(bounds!$A$7:$L$1048576,MATCH(targets!$A23,bounds!$A$7:$A$1048576,0), MATCH(I$1,bounds!$7:$7,0))</f>
        <v>9.7534036711855159E-5</v>
      </c>
      <c r="J23" s="2">
        <f>INDEX(bounds!$A$7:$L$1048576,MATCH(targets!$A23,bounds!$A$7:$A$1048576,0), MATCH(J$1,bounds!$7:$7,0))</f>
        <v>3.1229562615372915E-3</v>
      </c>
      <c r="K23" s="2">
        <v>3</v>
      </c>
      <c r="L23" s="2">
        <f t="shared" ref="L23:L25" si="11">IF(H23 - K23*(H23-I23) &lt;= 0, -0.001, H23 - K23*(H23-I23))</f>
        <v>-1E-3</v>
      </c>
      <c r="M23" s="2">
        <f t="shared" ref="M23:M25" si="12">H23 + K23*(J23-H23)</f>
        <v>8.2638964089212664E-3</v>
      </c>
      <c r="N23" s="1" t="s">
        <v>43</v>
      </c>
      <c r="O23" s="1" t="b">
        <v>0</v>
      </c>
    </row>
    <row r="24" spans="1:15">
      <c r="A24" s="1" t="str">
        <f t="shared" ref="A24:A25" si="13">""&amp;B24&amp;"_"&amp;E24</f>
        <v>prevalence_incidental_81</v>
      </c>
      <c r="B24" s="1" t="s">
        <v>42</v>
      </c>
      <c r="C24" s="1">
        <v>76</v>
      </c>
      <c r="D24" s="1">
        <f t="shared" ref="D24:D25" si="14">C24+10</f>
        <v>86</v>
      </c>
      <c r="E24" s="1">
        <f t="shared" si="10"/>
        <v>81</v>
      </c>
      <c r="F24" s="2">
        <f>INDEX(bounds!$A$7:$L$1048576,MATCH(targets!$A24,bounds!$A$7:$A$1048576,0), MATCH(F$1,bounds!$7:$7,0))</f>
        <v>2</v>
      </c>
      <c r="G24" s="2">
        <f>INDEX(bounds!$A$7:$L$1048576,MATCH(targets!$A24,bounds!$A$7:$A$1048576,0), MATCH(G$1,bounds!$7:$7,0))</f>
        <v>1307</v>
      </c>
      <c r="H24" s="2">
        <f>INDEX(bounds!$A$7:$L$1048576,MATCH(targets!$A24,bounds!$A$7:$A$1048576,0), MATCH(H$1,bounds!$7:$7,0))</f>
        <v>1.530221882172915E-3</v>
      </c>
      <c r="I24" s="2">
        <f>INDEX(bounds!$A$7:$L$1048576,MATCH(targets!$A24,bounds!$A$7:$A$1048576,0), MATCH(I$1,bounds!$7:$7,0))</f>
        <v>4.1974238437163421E-4</v>
      </c>
      <c r="J24" s="2">
        <f>INDEX(bounds!$A$7:$L$1048576,MATCH(targets!$A24,bounds!$A$7:$A$1048576,0), MATCH(J$1,bounds!$7:$7,0))</f>
        <v>5.562261593248006E-3</v>
      </c>
      <c r="K24" s="2">
        <v>3</v>
      </c>
      <c r="L24" s="2">
        <f t="shared" si="11"/>
        <v>-1E-3</v>
      </c>
      <c r="M24" s="2">
        <f t="shared" si="12"/>
        <v>1.3626341015398186E-2</v>
      </c>
      <c r="N24" s="1" t="s">
        <v>43</v>
      </c>
      <c r="O24" s="1" t="b">
        <v>0</v>
      </c>
    </row>
    <row r="25" spans="1:15">
      <c r="A25" s="1" t="str">
        <f t="shared" si="13"/>
        <v>prevalence_incidental_90</v>
      </c>
      <c r="B25" s="1" t="s">
        <v>42</v>
      </c>
      <c r="C25" s="1">
        <v>85</v>
      </c>
      <c r="D25" s="1">
        <f t="shared" si="14"/>
        <v>95</v>
      </c>
      <c r="E25" s="1">
        <f t="shared" si="10"/>
        <v>90</v>
      </c>
      <c r="F25" s="2">
        <f>INDEX(bounds!$A$7:$L$1048576,MATCH(targets!$A25,bounds!$A$7:$A$1048576,0), MATCH(F$1,bounds!$7:$7,0))</f>
        <v>2</v>
      </c>
      <c r="G25" s="2">
        <f>INDEX(bounds!$A$7:$L$1048576,MATCH(targets!$A25,bounds!$A$7:$A$1048576,0), MATCH(G$1,bounds!$7:$7,0))</f>
        <v>418</v>
      </c>
      <c r="H25" s="2">
        <f>INDEX(bounds!$A$7:$L$1048576,MATCH(targets!$A25,bounds!$A$7:$A$1048576,0), MATCH(H$1,bounds!$7:$7,0))</f>
        <v>4.7846889952153108E-3</v>
      </c>
      <c r="I25" s="2">
        <f>INDEX(bounds!$A$7:$L$1048576,MATCH(targets!$A25,bounds!$A$7:$A$1048576,0), MATCH(I$1,bounds!$7:$7,0))</f>
        <v>1.313116453381476E-3</v>
      </c>
      <c r="J25" s="2">
        <f>INDEX(bounds!$A$7:$L$1048576,MATCH(targets!$A25,bounds!$A$7:$A$1048576,0), MATCH(J$1,bounds!$7:$7,0))</f>
        <v>1.7275523085785241E-2</v>
      </c>
      <c r="K25" s="2">
        <v>3</v>
      </c>
      <c r="L25" s="2">
        <f t="shared" si="11"/>
        <v>-1E-3</v>
      </c>
      <c r="M25" s="2">
        <f t="shared" si="12"/>
        <v>4.2257191266925093E-2</v>
      </c>
      <c r="N25" s="1" t="s">
        <v>43</v>
      </c>
      <c r="O25" s="1" t="b">
        <v>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6"/>
  <sheetViews>
    <sheetView workbookViewId="0">
      <selection activeCell="I9" sqref="I9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B3" s="1" t="s">
        <v>18</v>
      </c>
      <c r="C3" s="1" t="s">
        <v>8</v>
      </c>
    </row>
    <row r="4" spans="1:12">
      <c r="A4" s="1" t="s">
        <v>13</v>
      </c>
      <c r="B4" s="1">
        <v>0.05</v>
      </c>
      <c r="C4" s="6">
        <v>1E-4</v>
      </c>
    </row>
    <row r="5" spans="1:12">
      <c r="A5" s="1" t="s">
        <v>14</v>
      </c>
      <c r="B5" s="1">
        <f>_xlfn.NORM.S.INV(1-B4/2)</f>
        <v>1.9599639845400536</v>
      </c>
      <c r="C5" s="1">
        <f>_xlfn.NORM.S.INV(1-C4/2)</f>
        <v>3.8905918864131199</v>
      </c>
    </row>
    <row r="7" spans="1:12">
      <c r="A7" s="1" t="s">
        <v>0</v>
      </c>
      <c r="B7" s="1" t="s">
        <v>1</v>
      </c>
      <c r="C7" s="1" t="s">
        <v>3</v>
      </c>
      <c r="D7" s="1" t="s">
        <v>4</v>
      </c>
      <c r="E7" s="1" t="s">
        <v>5</v>
      </c>
      <c r="F7" s="1" t="s">
        <v>7</v>
      </c>
      <c r="G7" s="1" t="s">
        <v>11</v>
      </c>
      <c r="H7" s="1" t="s">
        <v>12</v>
      </c>
      <c r="I7" s="1" t="s">
        <v>2</v>
      </c>
      <c r="J7" s="1" t="s">
        <v>16</v>
      </c>
      <c r="K7" s="1" t="s">
        <v>9</v>
      </c>
      <c r="L7" s="1" t="s">
        <v>10</v>
      </c>
    </row>
    <row r="8" spans="1:12">
      <c r="A8" s="1" t="str">
        <f>B8&amp;"_"&amp;E8</f>
        <v>prevalence_incidental_71</v>
      </c>
      <c r="B8" s="1" t="s">
        <v>42</v>
      </c>
      <c r="C8" s="2">
        <v>66</v>
      </c>
      <c r="D8" s="2">
        <f>C8+10</f>
        <v>76</v>
      </c>
      <c r="E8" s="1">
        <f t="shared" ref="E8:E10" si="0">FLOOR(AVERAGE(C8,D8), 1)</f>
        <v>71</v>
      </c>
      <c r="G8" s="1">
        <v>1810</v>
      </c>
      <c r="H8" s="1">
        <v>1</v>
      </c>
      <c r="I8" s="1">
        <f>H8/G8</f>
        <v>5.5248618784530391E-4</v>
      </c>
      <c r="J8" s="1">
        <f t="shared" ref="J8:J10" si="1">$B$5^2/G8</f>
        <v>2.1223529396100132E-3</v>
      </c>
      <c r="K8" s="1">
        <f t="shared" ref="K8:K10" si="2">(I8+J8/2)/(J8+1)-$B$5/(J8+1)*SQRT(I8*(1-I8)/G8+J8/(4*G8))</f>
        <v>9.7534036711855159E-5</v>
      </c>
      <c r="L8" s="1">
        <f t="shared" ref="L8:L10" si="3">(I8+J8/2)/(J8+1)+$B$5/(J8+1)*SQRT(I8*(1-I8)/G8+J8/(4*G8))</f>
        <v>3.1229562615372915E-3</v>
      </c>
    </row>
    <row r="9" spans="1:12">
      <c r="A9" s="1" t="str">
        <f t="shared" ref="A9:A13" si="4">B9&amp;"_"&amp;E9</f>
        <v>prevalence_incidental_81</v>
      </c>
      <c r="B9" s="1" t="s">
        <v>42</v>
      </c>
      <c r="C9" s="2">
        <v>76</v>
      </c>
      <c r="D9" s="2">
        <f t="shared" ref="D9:D10" si="5">C9+10</f>
        <v>86</v>
      </c>
      <c r="E9" s="1">
        <f t="shared" si="0"/>
        <v>81</v>
      </c>
      <c r="G9" s="1">
        <v>1307</v>
      </c>
      <c r="H9" s="1">
        <v>2</v>
      </c>
      <c r="I9" s="1">
        <f t="shared" ref="I9:I10" si="6">H9/G9</f>
        <v>1.530221882172915E-3</v>
      </c>
      <c r="J9" s="1">
        <f t="shared" si="1"/>
        <v>2.9391421734461542E-3</v>
      </c>
      <c r="K9" s="1">
        <f t="shared" si="2"/>
        <v>4.1974238437163421E-4</v>
      </c>
      <c r="L9" s="1">
        <f t="shared" si="3"/>
        <v>5.562261593248006E-3</v>
      </c>
    </row>
    <row r="10" spans="1:12">
      <c r="A10" s="1" t="str">
        <f t="shared" si="4"/>
        <v>prevalence_incidental_90</v>
      </c>
      <c r="B10" s="1" t="s">
        <v>42</v>
      </c>
      <c r="C10" s="2">
        <v>85</v>
      </c>
      <c r="D10" s="2">
        <f t="shared" si="5"/>
        <v>95</v>
      </c>
      <c r="E10" s="1">
        <f t="shared" si="0"/>
        <v>90</v>
      </c>
      <c r="G10" s="1">
        <v>418</v>
      </c>
      <c r="H10" s="1">
        <v>2</v>
      </c>
      <c r="I10" s="1">
        <f t="shared" si="6"/>
        <v>4.7846889952153108E-3</v>
      </c>
      <c r="J10" s="1">
        <f t="shared" si="1"/>
        <v>9.1900928724739806E-3</v>
      </c>
      <c r="K10" s="1">
        <f t="shared" si="2"/>
        <v>1.313116453381476E-3</v>
      </c>
      <c r="L10" s="1">
        <f t="shared" si="3"/>
        <v>1.7275523085785241E-2</v>
      </c>
    </row>
    <row r="11" spans="1:12">
      <c r="A11" s="1" t="str">
        <f t="shared" si="4"/>
        <v>stage_distr_1</v>
      </c>
      <c r="B11" s="1" t="s">
        <v>8</v>
      </c>
      <c r="E11" s="1">
        <v>1</v>
      </c>
      <c r="G11" s="1">
        <f>29085*0.95</f>
        <v>27630.75</v>
      </c>
      <c r="H11" s="1">
        <f>0.74*29085</f>
        <v>21522.9</v>
      </c>
      <c r="I11" s="1">
        <f t="shared" ref="I11:I13" si="7">H11/G11</f>
        <v>0.77894736842105272</v>
      </c>
      <c r="J11" s="1">
        <f t="shared" ref="J11:J13" si="8">$B$5^2/G11</f>
        <v>1.3902839483887058E-4</v>
      </c>
      <c r="K11" s="1">
        <f>(I11+J11/2)/(J11+1)-$C$5/(J11+1)*SQRT(I11*(1-I11)/G11+J11/(4*G11))</f>
        <v>0.769196681186881</v>
      </c>
      <c r="L11" s="1">
        <f>(I11+J11/2)/(J11+1)+$C$5/(J11+1)*SQRT(I11*(1-I11)/G11+J11/(4*G11))</f>
        <v>0.78862050322746191</v>
      </c>
    </row>
    <row r="12" spans="1:12">
      <c r="A12" s="1" t="str">
        <f t="shared" si="4"/>
        <v>stage_distr_2</v>
      </c>
      <c r="B12" s="1" t="s">
        <v>8</v>
      </c>
      <c r="E12" s="1">
        <v>2</v>
      </c>
      <c r="G12" s="1">
        <f t="shared" ref="G12:G13" si="9">29085*0.95</f>
        <v>27630.75</v>
      </c>
      <c r="H12" s="1">
        <f>0.18*29085</f>
        <v>5235.3</v>
      </c>
      <c r="I12" s="1">
        <f t="shared" si="7"/>
        <v>0.18947368421052632</v>
      </c>
      <c r="J12" s="1">
        <f t="shared" si="8"/>
        <v>1.3902839483887058E-4</v>
      </c>
      <c r="K12" s="1">
        <f t="shared" ref="K12:K13" si="10">(I12+J12/2)/(J12+1)-$C$5/(J12+1)*SQRT(I12*(1-I12)/G12+J12/(4*G12))</f>
        <v>0.18034480649920773</v>
      </c>
      <c r="L12" s="1">
        <f>(I12+J12/2)/(J12+1)+$C$5/(J12+1)*SQRT(I12*(1-I12)/G12+J12/(4*G12))</f>
        <v>0.19868889386973168</v>
      </c>
    </row>
    <row r="13" spans="1:12">
      <c r="A13" s="1" t="str">
        <f t="shared" si="4"/>
        <v>stage_distr_3</v>
      </c>
      <c r="B13" s="1" t="s">
        <v>8</v>
      </c>
      <c r="E13" s="1">
        <v>3</v>
      </c>
      <c r="G13" s="1">
        <f t="shared" si="9"/>
        <v>27630.75</v>
      </c>
      <c r="H13" s="1">
        <f>0.03*29085</f>
        <v>872.55</v>
      </c>
      <c r="I13" s="1">
        <f t="shared" si="7"/>
        <v>3.1578947368421054E-2</v>
      </c>
      <c r="J13" s="1">
        <f t="shared" si="8"/>
        <v>1.3902839483887058E-4</v>
      </c>
      <c r="K13" s="1">
        <f t="shared" si="10"/>
        <v>2.7549225740961719E-2</v>
      </c>
      <c r="L13" s="1">
        <f>(I13+J13/2)/(J13+1)+$C$5/(J13+1)*SQRT(I13*(1-I13)/G13+J13/(4*G13))</f>
        <v>3.5738898544387512E-2</v>
      </c>
    </row>
    <row r="15" spans="1:12">
      <c r="A15" s="1" t="s">
        <v>22</v>
      </c>
    </row>
    <row r="16" spans="1:12">
      <c r="A16" s="1" t="s">
        <v>25</v>
      </c>
    </row>
    <row r="17" spans="1:24">
      <c r="A17" s="1" t="s">
        <v>23</v>
      </c>
      <c r="B17" s="1">
        <v>1000000</v>
      </c>
    </row>
    <row r="18" spans="1:24">
      <c r="A18" s="1" t="s">
        <v>21</v>
      </c>
      <c r="B18" s="1">
        <v>23898718</v>
      </c>
    </row>
    <row r="19" spans="1:24">
      <c r="A19" s="1" t="s">
        <v>26</v>
      </c>
      <c r="B19" s="1">
        <v>1989</v>
      </c>
      <c r="W19" s="4"/>
      <c r="X19" s="5"/>
    </row>
    <row r="20" spans="1:24">
      <c r="A20" s="1" t="s">
        <v>27</v>
      </c>
      <c r="B20" s="1">
        <v>1993</v>
      </c>
      <c r="W20" s="4"/>
      <c r="X20" s="5"/>
    </row>
    <row r="21" spans="1:24">
      <c r="A21" s="1" t="s">
        <v>28</v>
      </c>
      <c r="B21" s="1">
        <v>100000</v>
      </c>
      <c r="W21" s="4"/>
      <c r="X21" s="5"/>
    </row>
    <row r="22" spans="1:24">
      <c r="A22" s="1" t="s">
        <v>32</v>
      </c>
      <c r="B22" s="5">
        <v>22682</v>
      </c>
      <c r="W22" s="4"/>
      <c r="X22" s="5"/>
    </row>
    <row r="23" spans="1:24">
      <c r="D23" s="1" t="s">
        <v>30</v>
      </c>
      <c r="E23" s="1" t="s">
        <v>24</v>
      </c>
      <c r="W23" s="4"/>
      <c r="X23" s="5"/>
    </row>
    <row r="24" spans="1:24">
      <c r="A24" s="1" t="s">
        <v>0</v>
      </c>
      <c r="B24" s="1" t="s">
        <v>1</v>
      </c>
      <c r="C24" s="1" t="s">
        <v>3</v>
      </c>
      <c r="D24" s="1" t="s">
        <v>4</v>
      </c>
      <c r="E24" s="1" t="s">
        <v>5</v>
      </c>
      <c r="F24" s="1" t="s">
        <v>23</v>
      </c>
      <c r="G24" s="1" t="s">
        <v>11</v>
      </c>
      <c r="H24" s="1" t="s">
        <v>12</v>
      </c>
      <c r="I24" s="1" t="s">
        <v>34</v>
      </c>
      <c r="J24" s="1" t="s">
        <v>35</v>
      </c>
      <c r="K24" s="1" t="s">
        <v>2</v>
      </c>
      <c r="L24" s="1" t="s">
        <v>31</v>
      </c>
      <c r="M24" s="1" t="s">
        <v>38</v>
      </c>
      <c r="N24" s="1" t="s">
        <v>9</v>
      </c>
      <c r="O24" s="1" t="s">
        <v>10</v>
      </c>
      <c r="Q24" s="1" t="s">
        <v>40</v>
      </c>
      <c r="R24" s="1" t="s">
        <v>41</v>
      </c>
    </row>
    <row r="25" spans="1:24">
      <c r="A25" s="1" t="str">
        <f t="shared" ref="A25:A42" si="11">B25&amp;"_"&amp;E25</f>
        <v>incidence_clin_2</v>
      </c>
      <c r="B25" s="1" t="s">
        <v>19</v>
      </c>
      <c r="C25" s="1">
        <v>0</v>
      </c>
      <c r="D25" s="1">
        <v>5</v>
      </c>
      <c r="E25" s="1">
        <f t="shared" ref="E25:E42" si="12">FLOOR(AVERAGE(C25,D25), 1)</f>
        <v>2</v>
      </c>
      <c r="F25" s="1">
        <v>84416</v>
      </c>
      <c r="G25" s="1">
        <f>F25/$B$17*$B$18*($B$20-$B$19+1)</f>
        <v>10087170.893440001</v>
      </c>
      <c r="H25" s="1">
        <f t="shared" ref="H25:H42" si="13">K25*G25/$B$21</f>
        <v>10.087170893440002</v>
      </c>
      <c r="I25" s="1">
        <f>MAX(0, K25-0.05)*G25/$B$21</f>
        <v>5.0435854467200008</v>
      </c>
      <c r="J25" s="1">
        <f>(K25+0.05)*G25/$B$21</f>
        <v>15.130756340160005</v>
      </c>
      <c r="K25" s="1">
        <v>0.1</v>
      </c>
      <c r="L25" s="1">
        <f>SUM(H25:H28)/H43</f>
        <v>1.6241209331261943E-3</v>
      </c>
      <c r="M25" s="1">
        <f>IFERROR(0.5*_xlfn.CHISQ.INV($C$4/2,2*I25)/$G25*$B$21, 0)</f>
        <v>3.797133650190835E-3</v>
      </c>
      <c r="N25" s="1">
        <f>IF(M25&lt;1, -0.001,M25)</f>
        <v>-1E-3</v>
      </c>
      <c r="O25" s="1">
        <f>IFERROR(0.5*_xlfn.CHISQ.INV(1-$C$4/2,2*($J25+1))/$G25*$B$21, 0)</f>
        <v>0.36127483158541895</v>
      </c>
      <c r="Q25" s="1">
        <f>K25/$B$21*(D25-C25)</f>
        <v>4.9999999999999996E-6</v>
      </c>
      <c r="R25" s="1">
        <f>SUM($Q$25:Q25)</f>
        <v>4.9999999999999996E-6</v>
      </c>
    </row>
    <row r="26" spans="1:24">
      <c r="A26" s="1" t="str">
        <f t="shared" si="11"/>
        <v>incidence_clin_7</v>
      </c>
      <c r="B26" s="1" t="s">
        <v>19</v>
      </c>
      <c r="C26" s="1">
        <v>5</v>
      </c>
      <c r="D26" s="1">
        <f>C27</f>
        <v>10</v>
      </c>
      <c r="E26" s="1">
        <f t="shared" si="12"/>
        <v>7</v>
      </c>
      <c r="F26" s="1">
        <v>98204</v>
      </c>
      <c r="G26" s="1">
        <f t="shared" ref="G26:G42" si="14">F26/$B$17*$B$18*($B$20-$B$19+1)</f>
        <v>11734748.512359999</v>
      </c>
      <c r="H26" s="1">
        <f t="shared" si="13"/>
        <v>11.734748512359999</v>
      </c>
      <c r="I26" s="1">
        <f t="shared" ref="I26:I42" si="15">MAX(0, K26-0.05)*G26/$B$21</f>
        <v>5.8673742561799997</v>
      </c>
      <c r="J26" s="1">
        <f t="shared" ref="J26:J42" si="16">(K26+0.05)*G26/$B$21</f>
        <v>17.602122768539999</v>
      </c>
      <c r="K26" s="1">
        <v>0.1</v>
      </c>
      <c r="M26" s="1">
        <f t="shared" ref="M26:M42" si="17">IFERROR(0.5*_xlfn.CHISQ.INV($C$4/2,2*I26)/$G26*$B$21, 0)</f>
        <v>4.254340947499706E-3</v>
      </c>
      <c r="N26" s="1">
        <f t="shared" ref="N26:N42" si="18">IF(M26&lt;1, -0.001,M26)</f>
        <v>-1E-3</v>
      </c>
      <c r="O26" s="1">
        <f t="shared" ref="O26:O42" si="19">IFERROR(0.5*_xlfn.CHISQ.INV(1-$C$4/2,2*($J26+1))/$G26*$B$21, 0)</f>
        <v>0.34176539057413913</v>
      </c>
      <c r="Q26" s="1">
        <f t="shared" ref="Q26:Q42" si="20">K26/$B$21*(D26-C26)</f>
        <v>4.9999999999999996E-6</v>
      </c>
      <c r="R26" s="1">
        <f>SUM($Q$25:Q26)</f>
        <v>9.9999999999999991E-6</v>
      </c>
    </row>
    <row r="27" spans="1:24">
      <c r="A27" s="1" t="str">
        <f t="shared" si="11"/>
        <v>incidence_clin_12</v>
      </c>
      <c r="B27" s="1" t="s">
        <v>19</v>
      </c>
      <c r="C27" s="1">
        <v>10</v>
      </c>
      <c r="D27" s="1">
        <f t="shared" ref="D27:D41" si="21">C28</f>
        <v>15</v>
      </c>
      <c r="E27" s="1">
        <f t="shared" si="12"/>
        <v>12</v>
      </c>
      <c r="F27" s="1">
        <v>102304</v>
      </c>
      <c r="G27" s="1">
        <f t="shared" si="14"/>
        <v>12224672.231360001</v>
      </c>
      <c r="H27" s="1">
        <f t="shared" si="13"/>
        <v>0</v>
      </c>
      <c r="I27" s="1">
        <f t="shared" si="15"/>
        <v>0</v>
      </c>
      <c r="J27" s="1">
        <f t="shared" si="16"/>
        <v>6.1123361156800007</v>
      </c>
      <c r="K27" s="1">
        <v>0</v>
      </c>
      <c r="M27" s="1">
        <f t="shared" si="17"/>
        <v>0</v>
      </c>
      <c r="N27" s="1">
        <f t="shared" si="18"/>
        <v>-1E-3</v>
      </c>
      <c r="O27" s="1">
        <f t="shared" si="19"/>
        <v>0.18182240036888692</v>
      </c>
      <c r="Q27" s="1">
        <f t="shared" si="20"/>
        <v>0</v>
      </c>
      <c r="R27" s="1">
        <f>SUM($Q$25:Q27)</f>
        <v>9.9999999999999991E-6</v>
      </c>
    </row>
    <row r="28" spans="1:24">
      <c r="A28" s="1" t="str">
        <f t="shared" si="11"/>
        <v>incidence_clin_17</v>
      </c>
      <c r="B28" s="1" t="s">
        <v>19</v>
      </c>
      <c r="C28" s="1">
        <v>15</v>
      </c>
      <c r="D28" s="1">
        <f t="shared" si="21"/>
        <v>20</v>
      </c>
      <c r="E28" s="1">
        <f t="shared" si="12"/>
        <v>17</v>
      </c>
      <c r="F28" s="1">
        <v>93845</v>
      </c>
      <c r="G28" s="1">
        <f t="shared" si="14"/>
        <v>11213875.95355</v>
      </c>
      <c r="H28" s="1">
        <f t="shared" si="13"/>
        <v>11.213875953550001</v>
      </c>
      <c r="I28" s="1">
        <f t="shared" si="15"/>
        <v>5.6069379767750007</v>
      </c>
      <c r="J28" s="1">
        <f t="shared" si="16"/>
        <v>16.820813930325002</v>
      </c>
      <c r="K28" s="1">
        <v>0.1</v>
      </c>
      <c r="M28" s="1">
        <f t="shared" si="17"/>
        <v>4.4519505398077797E-3</v>
      </c>
      <c r="N28" s="1">
        <f t="shared" si="18"/>
        <v>-1E-3</v>
      </c>
      <c r="O28" s="1">
        <f t="shared" si="19"/>
        <v>0.34466310103500203</v>
      </c>
      <c r="Q28" s="1">
        <f t="shared" si="20"/>
        <v>4.9999999999999996E-6</v>
      </c>
      <c r="R28" s="1">
        <f>SUM($Q$25:Q28)</f>
        <v>1.4999999999999999E-5</v>
      </c>
    </row>
    <row r="29" spans="1:24">
      <c r="A29" s="1" t="str">
        <f t="shared" si="11"/>
        <v>incidence_clin_22</v>
      </c>
      <c r="B29" s="1" t="s">
        <v>19</v>
      </c>
      <c r="C29" s="1">
        <v>20</v>
      </c>
      <c r="D29" s="1">
        <f t="shared" si="21"/>
        <v>25</v>
      </c>
      <c r="E29" s="1">
        <f t="shared" si="12"/>
        <v>22</v>
      </c>
      <c r="F29" s="1">
        <v>80561</v>
      </c>
      <c r="G29" s="1">
        <f t="shared" si="14"/>
        <v>9626523.1039899997</v>
      </c>
      <c r="H29" s="1">
        <f t="shared" si="13"/>
        <v>28.879569311969998</v>
      </c>
      <c r="I29" s="1">
        <f t="shared" si="15"/>
        <v>24.066307759975</v>
      </c>
      <c r="J29" s="1">
        <f t="shared" si="16"/>
        <v>33.692830863964993</v>
      </c>
      <c r="K29" s="1">
        <v>0.3</v>
      </c>
      <c r="L29" s="1">
        <f>SUM(H29:H31)/H43</f>
        <v>7.0026509067945388E-3</v>
      </c>
      <c r="M29" s="1">
        <f t="shared" si="17"/>
        <v>9.7938196894199095E-2</v>
      </c>
      <c r="N29" s="1">
        <f t="shared" si="18"/>
        <v>-1E-3</v>
      </c>
      <c r="O29" s="1">
        <f t="shared" si="19"/>
        <v>0.64601481946145045</v>
      </c>
      <c r="Q29" s="1">
        <f t="shared" si="20"/>
        <v>1.5E-5</v>
      </c>
      <c r="R29" s="1">
        <f>SUM($Q$25:Q29)</f>
        <v>2.9999999999999997E-5</v>
      </c>
    </row>
    <row r="30" spans="1:24">
      <c r="A30" s="1" t="str">
        <f t="shared" si="11"/>
        <v>incidence_clin_27</v>
      </c>
      <c r="B30" s="1" t="s">
        <v>19</v>
      </c>
      <c r="C30" s="1">
        <v>25</v>
      </c>
      <c r="D30" s="1">
        <f t="shared" si="21"/>
        <v>30</v>
      </c>
      <c r="E30" s="1">
        <f t="shared" si="12"/>
        <v>27</v>
      </c>
      <c r="F30" s="1">
        <v>66320</v>
      </c>
      <c r="G30" s="1">
        <f t="shared" si="14"/>
        <v>7924814.8888000008</v>
      </c>
      <c r="H30" s="1">
        <f t="shared" si="13"/>
        <v>39.624074444000001</v>
      </c>
      <c r="I30" s="1">
        <f t="shared" si="15"/>
        <v>35.661666999600001</v>
      </c>
      <c r="J30" s="1">
        <f t="shared" si="16"/>
        <v>43.586481888400009</v>
      </c>
      <c r="K30" s="1">
        <v>0.5</v>
      </c>
      <c r="M30" s="1">
        <f t="shared" si="17"/>
        <v>0.21267471914061448</v>
      </c>
      <c r="N30" s="1">
        <f t="shared" si="18"/>
        <v>-1E-3</v>
      </c>
      <c r="O30" s="1">
        <f t="shared" si="19"/>
        <v>0.94989916767749982</v>
      </c>
      <c r="Q30" s="1">
        <f t="shared" si="20"/>
        <v>2.5000000000000001E-5</v>
      </c>
      <c r="R30" s="1">
        <f>SUM($Q$25:Q30)</f>
        <v>5.4999999999999995E-5</v>
      </c>
    </row>
    <row r="31" spans="1:24">
      <c r="A31" s="1" t="str">
        <f t="shared" si="11"/>
        <v>incidence_clin_32</v>
      </c>
      <c r="B31" s="1" t="s">
        <v>19</v>
      </c>
      <c r="C31" s="1">
        <v>30</v>
      </c>
      <c r="D31" s="1">
        <f t="shared" si="21"/>
        <v>35</v>
      </c>
      <c r="E31" s="1">
        <f t="shared" si="12"/>
        <v>32</v>
      </c>
      <c r="F31" s="1">
        <v>56249</v>
      </c>
      <c r="G31" s="1">
        <f t="shared" si="14"/>
        <v>6721394.9439099999</v>
      </c>
      <c r="H31" s="1">
        <f t="shared" si="13"/>
        <v>73.935344383010005</v>
      </c>
      <c r="I31" s="1">
        <f t="shared" si="15"/>
        <v>70.574646911054998</v>
      </c>
      <c r="J31" s="1">
        <f t="shared" si="16"/>
        <v>77.296041854965011</v>
      </c>
      <c r="K31" s="1">
        <v>1.1000000000000001</v>
      </c>
      <c r="M31" s="1">
        <f t="shared" si="17"/>
        <v>0.63120633803390602</v>
      </c>
      <c r="N31" s="1">
        <f t="shared" si="18"/>
        <v>-1E-3</v>
      </c>
      <c r="O31" s="1">
        <f t="shared" si="19"/>
        <v>1.7431061741782465</v>
      </c>
      <c r="Q31" s="1">
        <f t="shared" si="20"/>
        <v>5.5000000000000009E-5</v>
      </c>
      <c r="R31" s="1">
        <f>SUM($Q$25:Q31)</f>
        <v>1.1E-4</v>
      </c>
    </row>
    <row r="32" spans="1:24">
      <c r="A32" s="1" t="str">
        <f t="shared" si="11"/>
        <v>incidence_clin_37</v>
      </c>
      <c r="B32" s="1" t="s">
        <v>19</v>
      </c>
      <c r="C32" s="1">
        <v>35</v>
      </c>
      <c r="D32" s="1">
        <f t="shared" si="21"/>
        <v>40</v>
      </c>
      <c r="E32" s="1">
        <f t="shared" si="12"/>
        <v>37</v>
      </c>
      <c r="F32" s="1">
        <v>54656</v>
      </c>
      <c r="G32" s="1">
        <f t="shared" si="14"/>
        <v>6531041.6550400006</v>
      </c>
      <c r="H32" s="1">
        <f t="shared" si="13"/>
        <v>143.68291641088004</v>
      </c>
      <c r="I32" s="1">
        <f t="shared" si="15"/>
        <v>140.41739558336002</v>
      </c>
      <c r="J32" s="1">
        <f t="shared" si="16"/>
        <v>146.94843723840003</v>
      </c>
      <c r="K32" s="1">
        <v>2.2000000000000002</v>
      </c>
      <c r="L32" s="1">
        <f>SUM(H32:H33)/$H$43</f>
        <v>2.1957052888418878E-2</v>
      </c>
      <c r="M32" s="1">
        <f t="shared" si="17"/>
        <v>1.5096614770209527</v>
      </c>
      <c r="N32" s="1">
        <f t="shared" si="18"/>
        <v>1.5096614770209527</v>
      </c>
      <c r="O32" s="1">
        <f t="shared" si="19"/>
        <v>3.0550947154719745</v>
      </c>
      <c r="Q32" s="1">
        <f t="shared" si="20"/>
        <v>1.1000000000000002E-4</v>
      </c>
      <c r="R32" s="1">
        <f>SUM($Q$25:Q32)</f>
        <v>2.2000000000000003E-4</v>
      </c>
    </row>
    <row r="33" spans="1:18">
      <c r="A33" s="1" t="str">
        <f t="shared" si="11"/>
        <v>incidence_clin_42</v>
      </c>
      <c r="B33" s="1" t="s">
        <v>19</v>
      </c>
      <c r="C33" s="1">
        <v>40</v>
      </c>
      <c r="D33" s="1">
        <f t="shared" si="21"/>
        <v>45</v>
      </c>
      <c r="E33" s="1">
        <f t="shared" si="12"/>
        <v>42</v>
      </c>
      <c r="F33" s="1">
        <v>58958</v>
      </c>
      <c r="G33" s="1">
        <f t="shared" si="14"/>
        <v>7045103.0792200007</v>
      </c>
      <c r="H33" s="1">
        <f t="shared" si="13"/>
        <v>302.93943240646001</v>
      </c>
      <c r="I33" s="1">
        <f t="shared" si="15"/>
        <v>299.41688086685002</v>
      </c>
      <c r="J33" s="1">
        <f t="shared" si="16"/>
        <v>306.46198394607001</v>
      </c>
      <c r="K33" s="1">
        <v>4.3</v>
      </c>
      <c r="M33" s="1">
        <f t="shared" si="17"/>
        <v>3.3552871864818119</v>
      </c>
      <c r="N33" s="1">
        <f t="shared" si="18"/>
        <v>3.3552871864818119</v>
      </c>
      <c r="O33" s="1">
        <f t="shared" si="19"/>
        <v>5.3927965254376069</v>
      </c>
      <c r="Q33" s="1">
        <f t="shared" si="20"/>
        <v>2.1499999999999997E-4</v>
      </c>
      <c r="R33" s="1">
        <f>SUM($Q$25:Q33)</f>
        <v>4.35E-4</v>
      </c>
    </row>
    <row r="34" spans="1:18">
      <c r="A34" s="1" t="str">
        <f t="shared" si="11"/>
        <v>incidence_clin_47</v>
      </c>
      <c r="B34" s="1" t="s">
        <v>19</v>
      </c>
      <c r="C34" s="1">
        <v>45</v>
      </c>
      <c r="D34" s="1">
        <f t="shared" si="21"/>
        <v>50</v>
      </c>
      <c r="E34" s="1">
        <f t="shared" si="12"/>
        <v>47</v>
      </c>
      <c r="F34" s="1">
        <v>59622</v>
      </c>
      <c r="G34" s="1">
        <f t="shared" si="14"/>
        <v>7124446.8229799997</v>
      </c>
      <c r="H34" s="1">
        <f>K34*G34/$B$21</f>
        <v>676.82244818309994</v>
      </c>
      <c r="I34" s="1">
        <f t="shared" si="15"/>
        <v>673.26022477160996</v>
      </c>
      <c r="J34" s="1">
        <f t="shared" si="16"/>
        <v>680.38467159458992</v>
      </c>
      <c r="K34" s="1">
        <v>9.5</v>
      </c>
      <c r="L34" s="1">
        <f>SUM(H34:H35)/$H$43</f>
        <v>9.2660309853476744E-2</v>
      </c>
      <c r="M34" s="1">
        <f t="shared" si="17"/>
        <v>8.0953120007060804</v>
      </c>
      <c r="N34" s="1">
        <f t="shared" si="18"/>
        <v>8.0953120007060804</v>
      </c>
      <c r="O34" s="1">
        <f t="shared" si="19"/>
        <v>11.050308439923784</v>
      </c>
      <c r="Q34" s="1">
        <f t="shared" si="20"/>
        <v>4.7500000000000005E-4</v>
      </c>
      <c r="R34" s="1">
        <f>SUM($Q$25:Q34)</f>
        <v>9.1E-4</v>
      </c>
    </row>
    <row r="35" spans="1:18">
      <c r="A35" s="1" t="str">
        <f t="shared" si="11"/>
        <v>incidence_clin_52</v>
      </c>
      <c r="B35" s="1" t="s">
        <v>19</v>
      </c>
      <c r="C35" s="1">
        <v>50</v>
      </c>
      <c r="D35" s="1">
        <f t="shared" si="21"/>
        <v>55</v>
      </c>
      <c r="E35" s="1">
        <f t="shared" si="12"/>
        <v>52</v>
      </c>
      <c r="F35" s="1">
        <v>54643</v>
      </c>
      <c r="G35" s="1">
        <f t="shared" si="14"/>
        <v>6529488.2383699995</v>
      </c>
      <c r="H35" s="1">
        <f t="shared" si="13"/>
        <v>1207.9553240984499</v>
      </c>
      <c r="I35" s="1">
        <f t="shared" si="15"/>
        <v>1204.6905799792648</v>
      </c>
      <c r="J35" s="1">
        <f t="shared" si="16"/>
        <v>1211.2200682176351</v>
      </c>
      <c r="K35" s="1">
        <v>18.5</v>
      </c>
      <c r="M35" s="1">
        <f t="shared" si="17"/>
        <v>16.450899786160679</v>
      </c>
      <c r="N35" s="1">
        <f t="shared" si="18"/>
        <v>16.450899786160679</v>
      </c>
      <c r="O35" s="1">
        <f t="shared" si="19"/>
        <v>20.708865931030658</v>
      </c>
      <c r="Q35" s="1">
        <f t="shared" si="20"/>
        <v>9.2500000000000004E-4</v>
      </c>
      <c r="R35" s="1">
        <f>SUM($Q$25:Q35)</f>
        <v>1.835E-3</v>
      </c>
    </row>
    <row r="36" spans="1:18">
      <c r="A36" s="1" t="str">
        <f t="shared" si="11"/>
        <v>incidence_clin_57</v>
      </c>
      <c r="B36" s="1" t="s">
        <v>19</v>
      </c>
      <c r="C36" s="1">
        <v>55</v>
      </c>
      <c r="D36" s="1">
        <f t="shared" si="21"/>
        <v>60</v>
      </c>
      <c r="E36" s="1">
        <f t="shared" si="12"/>
        <v>57</v>
      </c>
      <c r="F36" s="1">
        <v>49077</v>
      </c>
      <c r="G36" s="1">
        <f t="shared" si="14"/>
        <v>5864386.9164300002</v>
      </c>
      <c r="H36" s="1">
        <f t="shared" si="13"/>
        <v>2011.48471233549</v>
      </c>
      <c r="I36" s="1">
        <f t="shared" si="15"/>
        <v>2008.5525188772749</v>
      </c>
      <c r="J36" s="1">
        <f t="shared" si="16"/>
        <v>2014.4169057937047</v>
      </c>
      <c r="K36" s="1">
        <v>34.299999999999997</v>
      </c>
      <c r="L36" s="1">
        <f>SUM(H36:H37)/$H$43</f>
        <v>0.23066375686826504</v>
      </c>
      <c r="M36" s="1">
        <f t="shared" si="17"/>
        <v>31.355881788353273</v>
      </c>
      <c r="N36" s="1">
        <f t="shared" si="18"/>
        <v>31.355881788353273</v>
      </c>
      <c r="O36" s="1">
        <f t="shared" si="19"/>
        <v>37.418662813000019</v>
      </c>
      <c r="Q36" s="1">
        <f t="shared" si="20"/>
        <v>1.7149999999999999E-3</v>
      </c>
      <c r="R36" s="1">
        <f>SUM($Q$25:Q36)</f>
        <v>3.5500000000000002E-3</v>
      </c>
    </row>
    <row r="37" spans="1:18">
      <c r="A37" s="1" t="str">
        <f t="shared" si="11"/>
        <v>incidence_clin_62</v>
      </c>
      <c r="B37" s="1" t="s">
        <v>19</v>
      </c>
      <c r="C37" s="1">
        <v>60</v>
      </c>
      <c r="D37" s="1">
        <f t="shared" si="21"/>
        <v>65</v>
      </c>
      <c r="E37" s="1">
        <f t="shared" si="12"/>
        <v>62</v>
      </c>
      <c r="F37" s="1">
        <v>42403</v>
      </c>
      <c r="G37" s="1">
        <f t="shared" si="14"/>
        <v>5066886.6967700003</v>
      </c>
      <c r="H37" s="1">
        <f t="shared" si="13"/>
        <v>2680.3830625913301</v>
      </c>
      <c r="I37" s="1">
        <f t="shared" si="15"/>
        <v>2677.8496192429452</v>
      </c>
      <c r="J37" s="1">
        <f t="shared" si="16"/>
        <v>2682.9165059397151</v>
      </c>
      <c r="K37" s="1">
        <v>52.9</v>
      </c>
      <c r="M37" s="1">
        <f t="shared" si="17"/>
        <v>48.962568981583438</v>
      </c>
      <c r="N37" s="1">
        <f t="shared" si="18"/>
        <v>48.962568981583438</v>
      </c>
      <c r="O37" s="1">
        <f t="shared" si="19"/>
        <v>57.03248272374185</v>
      </c>
      <c r="Q37" s="1">
        <f t="shared" si="20"/>
        <v>2.6449999999999998E-3</v>
      </c>
      <c r="R37" s="1">
        <f>SUM($Q$25:Q37)</f>
        <v>6.195E-3</v>
      </c>
    </row>
    <row r="38" spans="1:18">
      <c r="A38" s="1" t="str">
        <f t="shared" si="11"/>
        <v>incidence_clin_67</v>
      </c>
      <c r="B38" s="1" t="s">
        <v>19</v>
      </c>
      <c r="C38" s="1">
        <v>65</v>
      </c>
      <c r="D38" s="1">
        <f t="shared" si="21"/>
        <v>70</v>
      </c>
      <c r="E38" s="1">
        <f t="shared" si="12"/>
        <v>67</v>
      </c>
      <c r="F38" s="1">
        <v>34406</v>
      </c>
      <c r="G38" s="1">
        <f t="shared" si="14"/>
        <v>4111296.4575399999</v>
      </c>
      <c r="H38" s="1">
        <f t="shared" si="13"/>
        <v>3404.15346684312</v>
      </c>
      <c r="I38" s="1">
        <f t="shared" si="15"/>
        <v>3402.0978186143498</v>
      </c>
      <c r="J38" s="1">
        <f t="shared" si="16"/>
        <v>3406.2091150718898</v>
      </c>
      <c r="K38" s="1">
        <v>82.8</v>
      </c>
      <c r="L38" s="1">
        <f>SUM(H38:H39)/$H$43</f>
        <v>0.33905227084581235</v>
      </c>
      <c r="M38" s="1">
        <f t="shared" si="17"/>
        <v>77.342309223810418</v>
      </c>
      <c r="N38" s="1">
        <f t="shared" si="18"/>
        <v>77.342309223810418</v>
      </c>
      <c r="O38" s="1">
        <f t="shared" si="19"/>
        <v>88.507822558360061</v>
      </c>
      <c r="Q38" s="1">
        <f t="shared" si="20"/>
        <v>4.1399999999999996E-3</v>
      </c>
      <c r="R38" s="1">
        <f>SUM($Q$25:Q38)</f>
        <v>1.0335E-2</v>
      </c>
    </row>
    <row r="39" spans="1:18">
      <c r="A39" s="1" t="str">
        <f t="shared" si="11"/>
        <v>incidence_clin_72</v>
      </c>
      <c r="B39" s="1" t="s">
        <v>19</v>
      </c>
      <c r="C39" s="1">
        <v>70</v>
      </c>
      <c r="D39" s="1">
        <f t="shared" si="21"/>
        <v>75</v>
      </c>
      <c r="E39" s="1">
        <f t="shared" si="12"/>
        <v>72</v>
      </c>
      <c r="F39" s="1">
        <v>26789</v>
      </c>
      <c r="G39" s="1">
        <f t="shared" si="14"/>
        <v>3201113.7825100003</v>
      </c>
      <c r="H39" s="1">
        <f t="shared" si="13"/>
        <v>3492.4151367184104</v>
      </c>
      <c r="I39" s="1">
        <f t="shared" si="15"/>
        <v>3490.8145798271553</v>
      </c>
      <c r="J39" s="1">
        <f t="shared" si="16"/>
        <v>3494.015693609665</v>
      </c>
      <c r="K39" s="1">
        <v>109.1</v>
      </c>
      <c r="M39" s="1">
        <f t="shared" si="17"/>
        <v>102.00634410001473</v>
      </c>
      <c r="N39" s="1">
        <f t="shared" si="18"/>
        <v>102.00634410001473</v>
      </c>
      <c r="O39" s="1">
        <f t="shared" si="19"/>
        <v>116.51359947428682</v>
      </c>
      <c r="Q39" s="1">
        <f t="shared" si="20"/>
        <v>5.4549999999999998E-3</v>
      </c>
      <c r="R39" s="1">
        <f>SUM($Q$25:Q39)</f>
        <v>1.5789999999999998E-2</v>
      </c>
    </row>
    <row r="40" spans="1:18">
      <c r="A40" s="1" t="str">
        <f t="shared" si="11"/>
        <v>incidence_clin_77</v>
      </c>
      <c r="B40" s="1" t="s">
        <v>19</v>
      </c>
      <c r="C40" s="1">
        <v>75</v>
      </c>
      <c r="D40" s="1">
        <f t="shared" si="21"/>
        <v>80</v>
      </c>
      <c r="E40" s="1">
        <f t="shared" si="12"/>
        <v>77</v>
      </c>
      <c r="F40" s="1">
        <v>18871</v>
      </c>
      <c r="G40" s="1">
        <f t="shared" si="14"/>
        <v>2254963.5368899996</v>
      </c>
      <c r="H40" s="1">
        <f t="shared" si="13"/>
        <v>2981.061795768579</v>
      </c>
      <c r="I40" s="1">
        <f t="shared" si="15"/>
        <v>2979.9343140001338</v>
      </c>
      <c r="J40" s="1">
        <f t="shared" si="16"/>
        <v>2982.1892775370247</v>
      </c>
      <c r="K40" s="1">
        <v>132.19999999999999</v>
      </c>
      <c r="L40" s="1">
        <f>SUM(H40:H41)/$H$43</f>
        <v>0.24514861979857369</v>
      </c>
      <c r="M40" s="1">
        <f t="shared" si="17"/>
        <v>122.92121750008623</v>
      </c>
      <c r="N40" s="1">
        <f t="shared" si="18"/>
        <v>122.92121750008623</v>
      </c>
      <c r="O40" s="1">
        <f t="shared" si="19"/>
        <v>141.91891919184286</v>
      </c>
      <c r="Q40" s="1">
        <f t="shared" si="20"/>
        <v>6.6099999999999996E-3</v>
      </c>
      <c r="R40" s="1">
        <f>SUM($Q$25:Q40)</f>
        <v>2.2399999999999996E-2</v>
      </c>
    </row>
    <row r="41" spans="1:18">
      <c r="A41" s="1" t="str">
        <f t="shared" si="11"/>
        <v>incidence_clin_82</v>
      </c>
      <c r="B41" s="1" t="s">
        <v>19</v>
      </c>
      <c r="C41" s="1">
        <v>80</v>
      </c>
      <c r="D41" s="1">
        <f t="shared" si="21"/>
        <v>85</v>
      </c>
      <c r="E41" s="1">
        <f t="shared" si="12"/>
        <v>82</v>
      </c>
      <c r="F41" s="1">
        <v>11241</v>
      </c>
      <c r="G41" s="1">
        <f t="shared" si="14"/>
        <v>1343227.4451899999</v>
      </c>
      <c r="H41" s="1">
        <f t="shared" si="13"/>
        <v>2005.43857566867</v>
      </c>
      <c r="I41" s="1">
        <f t="shared" si="15"/>
        <v>2004.7669619460751</v>
      </c>
      <c r="J41" s="1">
        <f t="shared" si="16"/>
        <v>2006.1101893912653</v>
      </c>
      <c r="K41" s="1">
        <v>149.30000000000001</v>
      </c>
      <c r="M41" s="1">
        <f t="shared" si="17"/>
        <v>136.61155641874043</v>
      </c>
      <c r="N41" s="1">
        <f t="shared" si="18"/>
        <v>136.61155641874043</v>
      </c>
      <c r="O41" s="1">
        <f t="shared" si="19"/>
        <v>162.74445396561978</v>
      </c>
      <c r="Q41" s="1">
        <f t="shared" si="20"/>
        <v>7.4650000000000011E-3</v>
      </c>
      <c r="R41" s="1">
        <f>SUM($Q$25:Q41)</f>
        <v>2.9864999999999996E-2</v>
      </c>
    </row>
    <row r="42" spans="1:18">
      <c r="A42" s="1" t="str">
        <f t="shared" si="11"/>
        <v>incidence_clin_92</v>
      </c>
      <c r="B42" s="1" t="s">
        <v>19</v>
      </c>
      <c r="C42" s="1">
        <v>85</v>
      </c>
      <c r="D42" s="1">
        <v>100</v>
      </c>
      <c r="E42" s="1">
        <f t="shared" si="12"/>
        <v>92</v>
      </c>
      <c r="F42" s="1">
        <v>7435</v>
      </c>
      <c r="G42" s="1">
        <f t="shared" si="14"/>
        <v>888434.84165000007</v>
      </c>
      <c r="H42" s="1">
        <f t="shared" si="13"/>
        <v>1258.9121706180499</v>
      </c>
      <c r="I42" s="1">
        <f t="shared" si="15"/>
        <v>1258.4679531972249</v>
      </c>
      <c r="J42" s="1">
        <f t="shared" si="16"/>
        <v>1259.3563880388751</v>
      </c>
      <c r="K42" s="1">
        <v>141.69999999999999</v>
      </c>
      <c r="L42" s="1">
        <f>H42/H43</f>
        <v>6.1891217905532488E-2</v>
      </c>
      <c r="M42" s="1">
        <f t="shared" si="17"/>
        <v>126.59273939334641</v>
      </c>
      <c r="N42" s="1">
        <f t="shared" si="18"/>
        <v>126.59273939334641</v>
      </c>
      <c r="O42" s="1">
        <f t="shared" si="19"/>
        <v>157.89999500379088</v>
      </c>
      <c r="Q42" s="1">
        <f t="shared" si="20"/>
        <v>2.1254999999999996E-2</v>
      </c>
      <c r="R42" s="1">
        <f>SUM($Q$25:Q42)</f>
        <v>5.1119999999999992E-2</v>
      </c>
    </row>
    <row r="43" spans="1:18">
      <c r="A43" s="1" t="s">
        <v>29</v>
      </c>
      <c r="F43" s="1">
        <f>SUM(F25:F42)</f>
        <v>1000000</v>
      </c>
      <c r="G43" s="1">
        <f>SUM(G25:G42)</f>
        <v>119493589.99999999</v>
      </c>
      <c r="H43" s="1">
        <f>SUM(H25:H42)</f>
        <v>20340.723825140871</v>
      </c>
    </row>
    <row r="44" spans="1:18">
      <c r="A44" s="1" t="s">
        <v>33</v>
      </c>
      <c r="F44" s="3"/>
      <c r="G44" s="1">
        <f>G43/(B20-B19+1)</f>
        <v>23898717.999999996</v>
      </c>
      <c r="H44" s="7">
        <f>H43/G44</f>
        <v>8.5112196500000019E-4</v>
      </c>
    </row>
    <row r="45" spans="1:18">
      <c r="F45" s="3"/>
    </row>
    <row r="46" spans="1:18">
      <c r="F4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2025-12-24T03:28:37Z</dcterms:modified>
</cp:coreProperties>
</file>