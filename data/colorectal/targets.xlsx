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api/Repositories/tutorial_cancer_modeling_des/data/colorectal/"/>
    </mc:Choice>
  </mc:AlternateContent>
  <xr:revisionPtr revIDLastSave="0" documentId="13_ncr:1_{CD470353-B6B9-144E-9706-D4BA2E94BD37}" xr6:coauthVersionLast="47" xr6:coauthVersionMax="47" xr10:uidLastSave="{00000000-0000-0000-0000-000000000000}"/>
  <bookViews>
    <workbookView xWindow="0" yWindow="760" windowWidth="30240" windowHeight="17740" activeTab="1" xr2:uid="{A45334B4-46D3-3441-9F0C-EDD51E1C869C}"/>
  </bookViews>
  <sheets>
    <sheet name="targets" sheetId="1" r:id="rId1"/>
    <sheet name="bou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5" i="1"/>
  <c r="A34" i="1"/>
  <c r="A33" i="1"/>
  <c r="A19" i="1"/>
  <c r="A18" i="1"/>
  <c r="A17" i="1"/>
  <c r="F36" i="1" l="1"/>
  <c r="F34" i="1"/>
  <c r="F33" i="1"/>
  <c r="I17" i="2"/>
  <c r="I16" i="2"/>
  <c r="I15" i="2"/>
  <c r="I14" i="2"/>
  <c r="D27" i="1"/>
  <c r="E27" i="1" s="1"/>
  <c r="A27" i="1" s="1"/>
  <c r="D28" i="1"/>
  <c r="E28" i="1" s="1"/>
  <c r="A28" i="1" s="1"/>
  <c r="D29" i="1"/>
  <c r="E29" i="1" s="1"/>
  <c r="A29" i="1" s="1"/>
  <c r="D30" i="1"/>
  <c r="E30" i="1" s="1"/>
  <c r="A30" i="1" s="1"/>
  <c r="D31" i="1"/>
  <c r="E31" i="1" s="1"/>
  <c r="A31" i="1" s="1"/>
  <c r="E32" i="1"/>
  <c r="A32" i="1" s="1"/>
  <c r="I13" i="2"/>
  <c r="I12" i="2"/>
  <c r="I11" i="2"/>
  <c r="I10" i="2"/>
  <c r="I9" i="2"/>
  <c r="I8" i="2"/>
  <c r="I7" i="2"/>
  <c r="E13" i="2"/>
  <c r="A13" i="2" s="1"/>
  <c r="E12" i="2"/>
  <c r="A12" i="2" s="1"/>
  <c r="E11" i="2"/>
  <c r="A11" i="2" s="1"/>
  <c r="E10" i="2"/>
  <c r="A10" i="2" s="1"/>
  <c r="E9" i="2"/>
  <c r="A9" i="2" s="1"/>
  <c r="E8" i="2"/>
  <c r="A8" i="2" s="1"/>
  <c r="E7" i="2"/>
  <c r="A7" i="2" s="1"/>
  <c r="B4" i="2"/>
  <c r="J15" i="2" s="1"/>
  <c r="E26" i="1"/>
  <c r="A26" i="1" s="1"/>
  <c r="E25" i="1"/>
  <c r="A25" i="1" s="1"/>
  <c r="E24" i="1"/>
  <c r="A24" i="1" s="1"/>
  <c r="E23" i="1"/>
  <c r="A23" i="1" s="1"/>
  <c r="E22" i="1"/>
  <c r="A22" i="1" s="1"/>
  <c r="E21" i="1"/>
  <c r="A21" i="1" s="1"/>
  <c r="E20" i="1"/>
  <c r="A20" i="1" s="1"/>
  <c r="J14" i="2" l="1"/>
  <c r="L15" i="2"/>
  <c r="H34" i="1" s="1"/>
  <c r="F35" i="1"/>
  <c r="G36" i="1"/>
  <c r="H20" i="1"/>
  <c r="F21" i="1"/>
  <c r="F22" i="1"/>
  <c r="H25" i="1"/>
  <c r="F25" i="1"/>
  <c r="F24" i="1"/>
  <c r="F26" i="1"/>
  <c r="F23" i="1"/>
  <c r="F20" i="1"/>
  <c r="G23" i="1"/>
  <c r="L14" i="2"/>
  <c r="H33" i="1" s="1"/>
  <c r="K15" i="2"/>
  <c r="G34" i="1" s="1"/>
  <c r="J16" i="2"/>
  <c r="L16" i="2" s="1"/>
  <c r="H35" i="1" s="1"/>
  <c r="J17" i="2"/>
  <c r="L17" i="2" s="1"/>
  <c r="H36" i="1" s="1"/>
  <c r="K16" i="2"/>
  <c r="G35" i="1" s="1"/>
  <c r="K14" i="2"/>
  <c r="G33" i="1" s="1"/>
  <c r="K17" i="2"/>
  <c r="J9" i="2"/>
  <c r="L9" i="2" s="1"/>
  <c r="H22" i="1" s="1"/>
  <c r="J11" i="2"/>
  <c r="K11" i="2" s="1"/>
  <c r="G24" i="1" s="1"/>
  <c r="J12" i="2"/>
  <c r="L12" i="2" s="1"/>
  <c r="J10" i="2"/>
  <c r="K10" i="2" s="1"/>
  <c r="J13" i="2"/>
  <c r="L13" i="2" s="1"/>
  <c r="H26" i="1" s="1"/>
  <c r="J7" i="2"/>
  <c r="L7" i="2" s="1"/>
  <c r="J8" i="2"/>
  <c r="L8" i="2" s="1"/>
  <c r="H21" i="1" s="1"/>
  <c r="K8" i="2"/>
  <c r="G21" i="1" s="1"/>
  <c r="E16" i="1"/>
  <c r="A16" i="1" s="1"/>
  <c r="D15" i="1"/>
  <c r="E15" i="1" s="1"/>
  <c r="A15" i="1" s="1"/>
  <c r="D14" i="1"/>
  <c r="E14" i="1" s="1"/>
  <c r="A14" i="1" s="1"/>
  <c r="D13" i="1"/>
  <c r="E13" i="1" s="1"/>
  <c r="A13" i="1" s="1"/>
  <c r="D12" i="1"/>
  <c r="E12" i="1" s="1"/>
  <c r="A12" i="1" s="1"/>
  <c r="D11" i="1"/>
  <c r="E11" i="1" s="1"/>
  <c r="A11" i="1" s="1"/>
  <c r="D10" i="1"/>
  <c r="E10" i="1" s="1"/>
  <c r="A10" i="1" s="1"/>
  <c r="D9" i="1"/>
  <c r="E9" i="1" s="1"/>
  <c r="A9" i="1" s="1"/>
  <c r="D8" i="1"/>
  <c r="E8" i="1" s="1"/>
  <c r="A8" i="1" s="1"/>
  <c r="D7" i="1"/>
  <c r="E7" i="1" s="1"/>
  <c r="A7" i="1" s="1"/>
  <c r="D6" i="1"/>
  <c r="E6" i="1" s="1"/>
  <c r="A6" i="1" s="1"/>
  <c r="D5" i="1"/>
  <c r="E5" i="1" s="1"/>
  <c r="A5" i="1" s="1"/>
  <c r="D4" i="1"/>
  <c r="E4" i="1" s="1"/>
  <c r="A4" i="1" s="1"/>
  <c r="D3" i="1"/>
  <c r="E3" i="1" s="1"/>
  <c r="A3" i="1" s="1"/>
  <c r="D2" i="1"/>
  <c r="E2" i="1" s="1"/>
  <c r="A2" i="1" s="1"/>
  <c r="K12" i="2" l="1"/>
  <c r="G25" i="1" s="1"/>
  <c r="K9" i="2"/>
  <c r="G22" i="1" s="1"/>
  <c r="L11" i="2"/>
  <c r="H24" i="1" s="1"/>
  <c r="L10" i="2"/>
  <c r="H23" i="1" s="1"/>
  <c r="K7" i="2"/>
  <c r="G20" i="1" s="1"/>
  <c r="K13" i="2"/>
  <c r="G26" i="1" s="1"/>
</calcChain>
</file>

<file path=xl/sharedStrings.xml><?xml version="1.0" encoding="utf-8"?>
<sst xmlns="http://schemas.openxmlformats.org/spreadsheetml/2006/main" count="182" uniqueCount="37">
  <si>
    <t>target_names</t>
  </si>
  <si>
    <t>target_groups</t>
  </si>
  <si>
    <t>targets</t>
  </si>
  <si>
    <t>lesion_type</t>
  </si>
  <si>
    <t>age_start</t>
  </si>
  <si>
    <t>age_end</t>
  </si>
  <si>
    <t>target_index</t>
  </si>
  <si>
    <t>sex</t>
  </si>
  <si>
    <t>female</t>
  </si>
  <si>
    <t>prevalence</t>
  </si>
  <si>
    <t>source</t>
  </si>
  <si>
    <t>Rutter et al. 2009</t>
  </si>
  <si>
    <t>AP</t>
  </si>
  <si>
    <t>CRC</t>
  </si>
  <si>
    <t>prevalence_lesion</t>
  </si>
  <si>
    <t>target_labels</t>
  </si>
  <si>
    <t>stage_distr_1</t>
  </si>
  <si>
    <t>stage_distr</t>
  </si>
  <si>
    <t>stage_distr_2</t>
  </si>
  <si>
    <t>stage_distr_3</t>
  </si>
  <si>
    <t>stage_distr_4</t>
  </si>
  <si>
    <t>MISCAN targets</t>
  </si>
  <si>
    <t>ci_lb</t>
  </si>
  <si>
    <t>ci_ub</t>
  </si>
  <si>
    <t>Berg et al. 1970</t>
  </si>
  <si>
    <t>n_total</t>
  </si>
  <si>
    <t>n_cases</t>
  </si>
  <si>
    <t>Alpha</t>
  </si>
  <si>
    <t>zcrit</t>
  </si>
  <si>
    <t>Source: https://real-statistics.com/binomial-and-related-distributions/proportion-distribution/proportion-parameter-confidence-interval/</t>
  </si>
  <si>
    <t>u</t>
  </si>
  <si>
    <t>Calculations for Wilson score confidence intervals for binomial proportion</t>
  </si>
  <si>
    <t>prevalence_preclin</t>
  </si>
  <si>
    <t>both</t>
  </si>
  <si>
    <t>Meester et al. 2020</t>
  </si>
  <si>
    <t>n_lesion</t>
  </si>
  <si>
    <t>incidence_clin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</si>
</sst>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C086-A524-D44D-8D0D-4CA59B33056E}">
  <dimension ref="A1:K36"/>
  <sheetViews>
    <sheetView topLeftCell="A5" zoomScale="112" workbookViewId="0">
      <selection activeCell="A19" sqref="A19"/>
    </sheetView>
  </sheetViews>
  <sheetFormatPr baseColWidth="10" defaultRowHeight="16" x14ac:dyDescent="0.2"/>
  <cols>
    <col min="1" max="1" width="25.33203125" style="1" customWidth="1"/>
    <col min="2" max="2" width="16.5" style="1" customWidth="1"/>
    <col min="3" max="16384" width="10.83203125" style="1"/>
  </cols>
  <sheetData>
    <row r="1" spans="1:11" x14ac:dyDescent="0.2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2</v>
      </c>
      <c r="G1" s="2" t="s">
        <v>22</v>
      </c>
      <c r="H1" s="2" t="s">
        <v>23</v>
      </c>
      <c r="I1" s="2" t="s">
        <v>7</v>
      </c>
      <c r="J1" s="2" t="s">
        <v>3</v>
      </c>
      <c r="K1" s="2" t="s">
        <v>10</v>
      </c>
    </row>
    <row r="2" spans="1:11" x14ac:dyDescent="0.2">
      <c r="A2" s="1" t="str">
        <f t="shared" ref="A2:A11" si="0">""&amp;B2&amp;"_"&amp;E2</f>
        <v>prevalence_lesion_27</v>
      </c>
      <c r="B2" s="2" t="s">
        <v>14</v>
      </c>
      <c r="C2" s="1">
        <v>25</v>
      </c>
      <c r="D2" s="1">
        <f>C3</f>
        <v>30</v>
      </c>
      <c r="E2" s="1">
        <f t="shared" ref="E2:E16" si="1">FLOOR(AVERAGE(C2,D2), 1)</f>
        <v>27</v>
      </c>
      <c r="F2" s="1">
        <v>0.12</v>
      </c>
      <c r="G2" s="1">
        <v>0</v>
      </c>
      <c r="H2" s="1">
        <v>0.30000000000000004</v>
      </c>
      <c r="I2" s="1" t="s">
        <v>8</v>
      </c>
      <c r="J2" s="1" t="s">
        <v>12</v>
      </c>
      <c r="K2" s="1" t="s">
        <v>11</v>
      </c>
    </row>
    <row r="3" spans="1:11" x14ac:dyDescent="0.2">
      <c r="A3" s="1" t="str">
        <f t="shared" si="0"/>
        <v>prevalence_lesion_32</v>
      </c>
      <c r="B3" s="2" t="s">
        <v>14</v>
      </c>
      <c r="C3" s="1">
        <v>30</v>
      </c>
      <c r="D3" s="1">
        <f t="shared" ref="D3:D15" si="2">C4</f>
        <v>35</v>
      </c>
      <c r="E3" s="1">
        <f t="shared" si="1"/>
        <v>32</v>
      </c>
      <c r="F3" s="1">
        <v>0.14000000000000001</v>
      </c>
      <c r="G3" s="1">
        <v>0</v>
      </c>
      <c r="H3" s="1">
        <v>0.36</v>
      </c>
      <c r="I3" s="1" t="s">
        <v>8</v>
      </c>
      <c r="J3" s="1" t="s">
        <v>12</v>
      </c>
      <c r="K3" s="1" t="s">
        <v>11</v>
      </c>
    </row>
    <row r="4" spans="1:11" x14ac:dyDescent="0.2">
      <c r="A4" s="1" t="str">
        <f t="shared" si="0"/>
        <v>prevalence_lesion_37</v>
      </c>
      <c r="B4" s="2" t="s">
        <v>14</v>
      </c>
      <c r="C4" s="1">
        <v>35</v>
      </c>
      <c r="D4" s="1">
        <f t="shared" si="2"/>
        <v>40</v>
      </c>
      <c r="E4" s="1">
        <f t="shared" si="1"/>
        <v>37</v>
      </c>
      <c r="F4" s="1">
        <v>0.18000000000000005</v>
      </c>
      <c r="G4" s="1">
        <v>1.0000000000000009E-2</v>
      </c>
      <c r="H4" s="1">
        <v>0.4</v>
      </c>
      <c r="I4" s="1" t="s">
        <v>8</v>
      </c>
      <c r="J4" s="1" t="s">
        <v>12</v>
      </c>
      <c r="K4" s="1" t="s">
        <v>11</v>
      </c>
    </row>
    <row r="5" spans="1:11" x14ac:dyDescent="0.2">
      <c r="A5" s="1" t="str">
        <f t="shared" si="0"/>
        <v>prevalence_lesion_42</v>
      </c>
      <c r="B5" s="2" t="s">
        <v>14</v>
      </c>
      <c r="C5" s="1">
        <v>40</v>
      </c>
      <c r="D5" s="1">
        <f t="shared" si="2"/>
        <v>45</v>
      </c>
      <c r="E5" s="1">
        <f t="shared" si="1"/>
        <v>42</v>
      </c>
      <c r="F5" s="1">
        <v>0.20999999999999996</v>
      </c>
      <c r="G5" s="1">
        <v>1.0000000000000009E-2</v>
      </c>
      <c r="H5" s="1">
        <v>0.45999999999999996</v>
      </c>
      <c r="I5" s="1" t="s">
        <v>8</v>
      </c>
      <c r="J5" s="1" t="s">
        <v>12</v>
      </c>
      <c r="K5" s="1" t="s">
        <v>11</v>
      </c>
    </row>
    <row r="6" spans="1:11" x14ac:dyDescent="0.2">
      <c r="A6" s="1" t="str">
        <f t="shared" si="0"/>
        <v>prevalence_lesion_47</v>
      </c>
      <c r="B6" s="2" t="s">
        <v>14</v>
      </c>
      <c r="C6" s="1">
        <v>45</v>
      </c>
      <c r="D6" s="1">
        <f t="shared" si="2"/>
        <v>50</v>
      </c>
      <c r="E6" s="1">
        <f t="shared" si="1"/>
        <v>47</v>
      </c>
      <c r="F6" s="1">
        <v>0.24</v>
      </c>
      <c r="G6" s="1">
        <v>2.0000000000000018E-2</v>
      </c>
      <c r="H6" s="1">
        <v>0.51</v>
      </c>
      <c r="I6" s="1" t="s">
        <v>8</v>
      </c>
      <c r="J6" s="1" t="s">
        <v>12</v>
      </c>
      <c r="K6" s="1" t="s">
        <v>11</v>
      </c>
    </row>
    <row r="7" spans="1:11" x14ac:dyDescent="0.2">
      <c r="A7" s="1" t="str">
        <f t="shared" si="0"/>
        <v>prevalence_lesion_52</v>
      </c>
      <c r="B7" s="2" t="s">
        <v>14</v>
      </c>
      <c r="C7" s="1">
        <v>50</v>
      </c>
      <c r="D7" s="1">
        <f t="shared" si="2"/>
        <v>55</v>
      </c>
      <c r="E7" s="1">
        <f t="shared" si="1"/>
        <v>52</v>
      </c>
      <c r="F7" s="1">
        <v>0.27</v>
      </c>
      <c r="G7" s="1">
        <v>3.0000000000000027E-2</v>
      </c>
      <c r="H7" s="1">
        <v>0.56000000000000005</v>
      </c>
      <c r="I7" s="1" t="s">
        <v>8</v>
      </c>
      <c r="J7" s="1" t="s">
        <v>12</v>
      </c>
      <c r="K7" s="1" t="s">
        <v>11</v>
      </c>
    </row>
    <row r="8" spans="1:11" x14ac:dyDescent="0.2">
      <c r="A8" s="1" t="str">
        <f t="shared" si="0"/>
        <v>prevalence_lesion_57</v>
      </c>
      <c r="B8" s="2" t="s">
        <v>14</v>
      </c>
      <c r="C8" s="1">
        <v>55</v>
      </c>
      <c r="D8" s="1">
        <f t="shared" si="2"/>
        <v>60</v>
      </c>
      <c r="E8" s="1">
        <f t="shared" si="1"/>
        <v>57</v>
      </c>
      <c r="F8" s="1">
        <v>0.30000000000000004</v>
      </c>
      <c r="G8" s="1">
        <v>4.0000000000000036E-2</v>
      </c>
      <c r="H8" s="1">
        <v>0.61</v>
      </c>
      <c r="I8" s="1" t="s">
        <v>8</v>
      </c>
      <c r="J8" s="1" t="s">
        <v>12</v>
      </c>
      <c r="K8" s="1" t="s">
        <v>11</v>
      </c>
    </row>
    <row r="9" spans="1:11" x14ac:dyDescent="0.2">
      <c r="A9" s="1" t="str">
        <f t="shared" si="0"/>
        <v>prevalence_lesion_62</v>
      </c>
      <c r="B9" s="2" t="s">
        <v>14</v>
      </c>
      <c r="C9" s="1">
        <v>60</v>
      </c>
      <c r="D9" s="1">
        <f t="shared" si="2"/>
        <v>65</v>
      </c>
      <c r="E9" s="1">
        <f t="shared" si="1"/>
        <v>62</v>
      </c>
      <c r="F9" s="1">
        <v>0.33999999999999997</v>
      </c>
      <c r="G9" s="1">
        <v>5.0000000000000044E-2</v>
      </c>
      <c r="H9" s="1">
        <v>0.65</v>
      </c>
      <c r="I9" s="1" t="s">
        <v>8</v>
      </c>
      <c r="J9" s="1" t="s">
        <v>12</v>
      </c>
      <c r="K9" s="1" t="s">
        <v>11</v>
      </c>
    </row>
    <row r="10" spans="1:11" x14ac:dyDescent="0.2">
      <c r="A10" s="1" t="str">
        <f t="shared" si="0"/>
        <v>prevalence_lesion_67</v>
      </c>
      <c r="B10" s="2" t="s">
        <v>14</v>
      </c>
      <c r="C10" s="1">
        <v>65</v>
      </c>
      <c r="D10" s="1">
        <f t="shared" si="2"/>
        <v>70</v>
      </c>
      <c r="E10" s="1">
        <f t="shared" si="1"/>
        <v>67</v>
      </c>
      <c r="F10" s="1">
        <v>0.37</v>
      </c>
      <c r="G10" s="1">
        <v>6.9999999999999951E-2</v>
      </c>
      <c r="H10" s="1">
        <v>0.7</v>
      </c>
      <c r="I10" s="1" t="s">
        <v>8</v>
      </c>
      <c r="J10" s="1" t="s">
        <v>12</v>
      </c>
      <c r="K10" s="1" t="s">
        <v>11</v>
      </c>
    </row>
    <row r="11" spans="1:11" x14ac:dyDescent="0.2">
      <c r="A11" s="1" t="str">
        <f t="shared" si="0"/>
        <v>prevalence_lesion_72</v>
      </c>
      <c r="B11" s="2" t="s">
        <v>14</v>
      </c>
      <c r="C11" s="1">
        <v>70</v>
      </c>
      <c r="D11" s="1">
        <f t="shared" si="2"/>
        <v>75</v>
      </c>
      <c r="E11" s="1">
        <f t="shared" si="1"/>
        <v>72</v>
      </c>
      <c r="F11" s="1">
        <v>0.41000000000000003</v>
      </c>
      <c r="G11" s="1">
        <v>8.9999999999999969E-2</v>
      </c>
      <c r="H11" s="1">
        <v>0.74</v>
      </c>
      <c r="I11" s="1" t="s">
        <v>8</v>
      </c>
      <c r="J11" s="1" t="s">
        <v>12</v>
      </c>
      <c r="K11" s="1" t="s">
        <v>11</v>
      </c>
    </row>
    <row r="12" spans="1:11" x14ac:dyDescent="0.2">
      <c r="A12" s="1" t="str">
        <f>""&amp;B12&amp;"_"&amp;E12</f>
        <v>prevalence_lesion_77</v>
      </c>
      <c r="B12" s="2" t="s">
        <v>14</v>
      </c>
      <c r="C12" s="1">
        <v>75</v>
      </c>
      <c r="D12" s="1">
        <f t="shared" si="2"/>
        <v>80</v>
      </c>
      <c r="E12" s="1">
        <f t="shared" si="1"/>
        <v>77</v>
      </c>
      <c r="F12" s="1">
        <v>0.44999999999999996</v>
      </c>
      <c r="G12" s="1">
        <v>0.12</v>
      </c>
      <c r="H12" s="1">
        <v>0.79</v>
      </c>
      <c r="I12" s="1" t="s">
        <v>8</v>
      </c>
      <c r="J12" s="1" t="s">
        <v>12</v>
      </c>
      <c r="K12" s="1" t="s">
        <v>11</v>
      </c>
    </row>
    <row r="13" spans="1:11" x14ac:dyDescent="0.2">
      <c r="A13" s="1" t="str">
        <f t="shared" ref="A13:A19" si="3">""&amp;B13&amp;"_"&amp;E13</f>
        <v>prevalence_lesion_82</v>
      </c>
      <c r="B13" s="2" t="s">
        <v>14</v>
      </c>
      <c r="C13" s="1">
        <v>80</v>
      </c>
      <c r="D13" s="1">
        <f t="shared" si="2"/>
        <v>85</v>
      </c>
      <c r="E13" s="1">
        <f t="shared" si="1"/>
        <v>82</v>
      </c>
      <c r="F13" s="1">
        <v>0.48</v>
      </c>
      <c r="G13" s="1">
        <v>0.15000000000000002</v>
      </c>
      <c r="H13" s="1">
        <v>0.83</v>
      </c>
      <c r="I13" s="1" t="s">
        <v>8</v>
      </c>
      <c r="J13" s="1" t="s">
        <v>12</v>
      </c>
      <c r="K13" s="1" t="s">
        <v>11</v>
      </c>
    </row>
    <row r="14" spans="1:11" x14ac:dyDescent="0.2">
      <c r="A14" s="1" t="str">
        <f t="shared" si="3"/>
        <v>prevalence_lesion_87</v>
      </c>
      <c r="B14" s="2" t="s">
        <v>14</v>
      </c>
      <c r="C14" s="1">
        <v>85</v>
      </c>
      <c r="D14" s="1">
        <f t="shared" si="2"/>
        <v>90</v>
      </c>
      <c r="E14" s="1">
        <f t="shared" si="1"/>
        <v>87</v>
      </c>
      <c r="F14" s="1">
        <v>0.52</v>
      </c>
      <c r="G14" s="1">
        <v>0.18000000000000005</v>
      </c>
      <c r="H14" s="1">
        <v>0.87</v>
      </c>
      <c r="I14" s="1" t="s">
        <v>8</v>
      </c>
      <c r="J14" s="1" t="s">
        <v>12</v>
      </c>
      <c r="K14" s="1" t="s">
        <v>11</v>
      </c>
    </row>
    <row r="15" spans="1:11" x14ac:dyDescent="0.2">
      <c r="A15" s="1" t="str">
        <f t="shared" si="3"/>
        <v>prevalence_lesion_92</v>
      </c>
      <c r="B15" s="2" t="s">
        <v>14</v>
      </c>
      <c r="C15" s="1">
        <v>90</v>
      </c>
      <c r="D15" s="1">
        <f t="shared" si="2"/>
        <v>95</v>
      </c>
      <c r="E15" s="1">
        <f t="shared" si="1"/>
        <v>92</v>
      </c>
      <c r="F15" s="1">
        <v>0.56000000000000005</v>
      </c>
      <c r="G15" s="1">
        <v>0.21999999999999997</v>
      </c>
      <c r="H15" s="1">
        <v>0.9</v>
      </c>
      <c r="I15" s="1" t="s">
        <v>8</v>
      </c>
      <c r="J15" s="1" t="s">
        <v>12</v>
      </c>
      <c r="K15" s="1" t="s">
        <v>11</v>
      </c>
    </row>
    <row r="16" spans="1:11" x14ac:dyDescent="0.2">
      <c r="A16" s="1" t="str">
        <f t="shared" si="3"/>
        <v>prevalence_lesion_97</v>
      </c>
      <c r="B16" s="2" t="s">
        <v>14</v>
      </c>
      <c r="C16" s="1">
        <v>95</v>
      </c>
      <c r="D16" s="1">
        <v>100</v>
      </c>
      <c r="E16" s="1">
        <f t="shared" si="1"/>
        <v>97</v>
      </c>
      <c r="F16" s="1">
        <v>0.6</v>
      </c>
      <c r="G16" s="1">
        <v>0.26</v>
      </c>
      <c r="H16" s="1">
        <v>0.92999999999999994</v>
      </c>
      <c r="I16" s="1" t="s">
        <v>8</v>
      </c>
      <c r="J16" s="1" t="s">
        <v>12</v>
      </c>
      <c r="K16" s="1" t="s">
        <v>11</v>
      </c>
    </row>
    <row r="17" spans="1:11" x14ac:dyDescent="0.2">
      <c r="A17" s="1" t="str">
        <f t="shared" si="3"/>
        <v>n_lesion_1</v>
      </c>
      <c r="B17" s="2" t="s">
        <v>35</v>
      </c>
      <c r="C17" s="2">
        <v>50</v>
      </c>
      <c r="D17" s="2">
        <v>80</v>
      </c>
      <c r="E17" s="2">
        <v>1</v>
      </c>
      <c r="F17" s="2">
        <v>0.433</v>
      </c>
      <c r="G17" s="2">
        <v>0.38</v>
      </c>
      <c r="H17" s="2">
        <v>0.48599999999999999</v>
      </c>
      <c r="I17" s="1" t="s">
        <v>33</v>
      </c>
      <c r="J17" s="1" t="s">
        <v>12</v>
      </c>
      <c r="K17" s="1" t="s">
        <v>34</v>
      </c>
    </row>
    <row r="18" spans="1:11" x14ac:dyDescent="0.2">
      <c r="A18" s="1" t="str">
        <f t="shared" si="3"/>
        <v>n_lesion_2</v>
      </c>
      <c r="B18" s="2" t="s">
        <v>35</v>
      </c>
      <c r="C18" s="2">
        <v>50</v>
      </c>
      <c r="D18" s="2">
        <v>80</v>
      </c>
      <c r="E18" s="2">
        <v>2</v>
      </c>
      <c r="F18" s="2">
        <v>0.223</v>
      </c>
      <c r="G18" s="2">
        <v>0.183</v>
      </c>
      <c r="H18" s="2">
        <v>0.26400000000000001</v>
      </c>
      <c r="I18" s="1" t="s">
        <v>33</v>
      </c>
      <c r="J18" s="1" t="s">
        <v>12</v>
      </c>
      <c r="K18" s="1" t="s">
        <v>34</v>
      </c>
    </row>
    <row r="19" spans="1:11" x14ac:dyDescent="0.2">
      <c r="A19" s="1" t="str">
        <f t="shared" si="3"/>
        <v>n_lesion_3</v>
      </c>
      <c r="B19" s="2" t="s">
        <v>35</v>
      </c>
      <c r="C19" s="2">
        <v>50</v>
      </c>
      <c r="D19" s="2">
        <v>80</v>
      </c>
      <c r="E19" s="2">
        <v>3</v>
      </c>
      <c r="F19" s="2">
        <v>0.34</v>
      </c>
      <c r="G19" s="2">
        <v>0.28000000000000003</v>
      </c>
      <c r="H19" s="2">
        <v>0.4</v>
      </c>
      <c r="I19" s="1" t="s">
        <v>33</v>
      </c>
      <c r="J19" s="1" t="s">
        <v>12</v>
      </c>
      <c r="K19" s="1" t="s">
        <v>34</v>
      </c>
    </row>
    <row r="20" spans="1:11" x14ac:dyDescent="0.2">
      <c r="A20" s="1" t="str">
        <f t="shared" ref="A20:A36" si="4">""&amp;B20&amp;"_"&amp;E20</f>
        <v>prevalence_preclin_35</v>
      </c>
      <c r="B20" s="2" t="s">
        <v>32</v>
      </c>
      <c r="C20" s="2">
        <v>30</v>
      </c>
      <c r="D20" s="2">
        <v>40</v>
      </c>
      <c r="E20" s="1">
        <f t="shared" ref="E20:E26" si="5">FLOOR(AVERAGE(C20,D20), 1)</f>
        <v>35</v>
      </c>
      <c r="F20" s="2">
        <f>INDEX(bounds!$A$6:$L$1048576,MATCH(targets!$A20,bounds!$A$6:$A$1048576,0), MATCH(F$1,bounds!$6:$6,0))</f>
        <v>2.9069767441860465E-3</v>
      </c>
      <c r="G20" s="2">
        <f>INDEX(bounds!$A$6:$L$1048576,MATCH(targets!$A20,bounds!$A$6:$A$1048576,0), MATCH(G$1,bounds!$6:$6,0))</f>
        <v>5.1333721812770253E-4</v>
      </c>
      <c r="H20" s="2">
        <f>INDEX(bounds!$A$6:$L$1048576,MATCH(targets!$A20,bounds!$A$6:$A$1048576,0), MATCH(H$1,bounds!$6:$6,0))</f>
        <v>1.6280114719714151E-2</v>
      </c>
      <c r="I20" s="1" t="s">
        <v>8</v>
      </c>
      <c r="J20" s="1" t="s">
        <v>13</v>
      </c>
      <c r="K20" s="1" t="s">
        <v>24</v>
      </c>
    </row>
    <row r="21" spans="1:11" x14ac:dyDescent="0.2">
      <c r="A21" s="1" t="str">
        <f t="shared" si="4"/>
        <v>prevalence_preclin_45</v>
      </c>
      <c r="B21" s="2" t="s">
        <v>32</v>
      </c>
      <c r="C21" s="2">
        <v>40</v>
      </c>
      <c r="D21" s="2">
        <v>50</v>
      </c>
      <c r="E21" s="1">
        <f t="shared" si="5"/>
        <v>45</v>
      </c>
      <c r="F21" s="2">
        <f>INDEX(bounds!$A$6:$L$1048576,MATCH(targets!$A21,bounds!$A$6:$A$1048576,0), MATCH(F$1,bounds!$6:$6,0))</f>
        <v>5.4844606946983544E-3</v>
      </c>
      <c r="G21" s="2">
        <f>INDEX(bounds!$A$6:$L$1048576,MATCH(targets!$A21,bounds!$A$6:$A$1048576,0), MATCH(G$1,bounds!$6:$6,0))</f>
        <v>1.8669281252303872E-3</v>
      </c>
      <c r="H21" s="2">
        <f>INDEX(bounds!$A$6:$L$1048576,MATCH(targets!$A21,bounds!$A$6:$A$1048576,0), MATCH(H$1,bounds!$6:$6,0))</f>
        <v>1.5999299376533674E-2</v>
      </c>
      <c r="I21" s="1" t="s">
        <v>8</v>
      </c>
      <c r="J21" s="1" t="s">
        <v>13</v>
      </c>
      <c r="K21" s="1" t="s">
        <v>24</v>
      </c>
    </row>
    <row r="22" spans="1:11" x14ac:dyDescent="0.2">
      <c r="A22" s="1" t="str">
        <f t="shared" si="4"/>
        <v>prevalence_preclin_55</v>
      </c>
      <c r="B22" s="2" t="s">
        <v>32</v>
      </c>
      <c r="C22" s="2">
        <v>50</v>
      </c>
      <c r="D22" s="2">
        <v>60</v>
      </c>
      <c r="E22" s="1">
        <f t="shared" si="5"/>
        <v>55</v>
      </c>
      <c r="F22" s="2">
        <f>INDEX(bounds!$A$6:$L$1048576,MATCH(targets!$A22,bounds!$A$6:$A$1048576,0), MATCH(F$1,bounds!$6:$6,0))</f>
        <v>6.7024128686327079E-3</v>
      </c>
      <c r="G22" s="2">
        <f>INDEX(bounds!$A$6:$L$1048576,MATCH(targets!$A22,bounds!$A$6:$A$1048576,0), MATCH(G$1,bounds!$6:$6,0))</f>
        <v>2.8661685080304854E-3</v>
      </c>
      <c r="H22" s="2">
        <f>INDEX(bounds!$A$6:$L$1048576,MATCH(targets!$A22,bounds!$A$6:$A$1048576,0), MATCH(H$1,bounds!$6:$6,0))</f>
        <v>1.5593011973218367E-2</v>
      </c>
      <c r="I22" s="1" t="s">
        <v>8</v>
      </c>
      <c r="J22" s="1" t="s">
        <v>13</v>
      </c>
      <c r="K22" s="1" t="s">
        <v>24</v>
      </c>
    </row>
    <row r="23" spans="1:11" x14ac:dyDescent="0.2">
      <c r="A23" s="1" t="str">
        <f t="shared" si="4"/>
        <v>prevalence_preclin_65</v>
      </c>
      <c r="B23" s="2" t="s">
        <v>32</v>
      </c>
      <c r="C23" s="2">
        <v>60</v>
      </c>
      <c r="D23" s="2">
        <v>70</v>
      </c>
      <c r="E23" s="1">
        <f t="shared" si="5"/>
        <v>65</v>
      </c>
      <c r="F23" s="2">
        <f>INDEX(bounds!$A$6:$L$1048576,MATCH(targets!$A23,bounds!$A$6:$A$1048576,0), MATCH(F$1,bounds!$6:$6,0))</f>
        <v>1.5682656826568265E-2</v>
      </c>
      <c r="G23" s="2">
        <f>INDEX(bounds!$A$6:$L$1048576,MATCH(targets!$A23,bounds!$A$6:$A$1048576,0), MATCH(G$1,bounds!$6:$6,0))</f>
        <v>9.8142486381670446E-3</v>
      </c>
      <c r="H23" s="2">
        <f>INDEX(bounds!$A$6:$L$1048576,MATCH(targets!$A23,bounds!$A$6:$A$1048576,0), MATCH(H$1,bounds!$6:$6,0))</f>
        <v>2.4971572874571808E-2</v>
      </c>
      <c r="I23" s="1" t="s">
        <v>8</v>
      </c>
      <c r="J23" s="1" t="s">
        <v>13</v>
      </c>
      <c r="K23" s="1" t="s">
        <v>24</v>
      </c>
    </row>
    <row r="24" spans="1:11" x14ac:dyDescent="0.2">
      <c r="A24" s="1" t="str">
        <f t="shared" si="4"/>
        <v>prevalence_preclin_75</v>
      </c>
      <c r="B24" s="2" t="s">
        <v>32</v>
      </c>
      <c r="C24" s="2">
        <v>70</v>
      </c>
      <c r="D24" s="2">
        <v>80</v>
      </c>
      <c r="E24" s="1">
        <f t="shared" si="5"/>
        <v>75</v>
      </c>
      <c r="F24" s="2">
        <f>INDEX(bounds!$A$6:$L$1048576,MATCH(targets!$A24,bounds!$A$6:$A$1048576,0), MATCH(F$1,bounds!$6:$6,0))</f>
        <v>1.8207282913165267E-2</v>
      </c>
      <c r="G24" s="2">
        <f>INDEX(bounds!$A$6:$L$1048576,MATCH(targets!$A24,bounds!$A$6:$A$1048576,0), MATCH(G$1,bounds!$6:$6,0))</f>
        <v>1.2455064037696518E-2</v>
      </c>
      <c r="H24" s="2">
        <f>INDEX(bounds!$A$6:$L$1048576,MATCH(targets!$A24,bounds!$A$6:$A$1048576,0), MATCH(H$1,bounds!$6:$6,0))</f>
        <v>2.6544685883420276E-2</v>
      </c>
      <c r="I24" s="1" t="s">
        <v>8</v>
      </c>
      <c r="J24" s="1" t="s">
        <v>13</v>
      </c>
      <c r="K24" s="1" t="s">
        <v>24</v>
      </c>
    </row>
    <row r="25" spans="1:11" x14ac:dyDescent="0.2">
      <c r="A25" s="1" t="str">
        <f t="shared" si="4"/>
        <v>prevalence_preclin_85</v>
      </c>
      <c r="B25" s="2" t="s">
        <v>32</v>
      </c>
      <c r="C25" s="2">
        <v>80</v>
      </c>
      <c r="D25" s="2">
        <v>90</v>
      </c>
      <c r="E25" s="1">
        <f t="shared" si="5"/>
        <v>85</v>
      </c>
      <c r="F25" s="2">
        <f>INDEX(bounds!$A$6:$L$1048576,MATCH(targets!$A25,bounds!$A$6:$A$1048576,0), MATCH(F$1,bounds!$6:$6,0))</f>
        <v>2.5930101465614429E-2</v>
      </c>
      <c r="G25" s="2">
        <f>INDEX(bounds!$A$6:$L$1048576,MATCH(targets!$A25,bounds!$A$6:$A$1048576,0), MATCH(G$1,bounds!$6:$6,0))</f>
        <v>1.7339774526665963E-2</v>
      </c>
      <c r="H25" s="2">
        <f>INDEX(bounds!$A$6:$L$1048576,MATCH(targets!$A25,bounds!$A$6:$A$1048576,0), MATCH(H$1,bounds!$6:$6,0))</f>
        <v>3.8608967336644713E-2</v>
      </c>
      <c r="I25" s="1" t="s">
        <v>8</v>
      </c>
      <c r="J25" s="1" t="s">
        <v>13</v>
      </c>
      <c r="K25" s="1" t="s">
        <v>24</v>
      </c>
    </row>
    <row r="26" spans="1:11" x14ac:dyDescent="0.2">
      <c r="A26" s="1" t="str">
        <f t="shared" si="4"/>
        <v>prevalence_preclin_95</v>
      </c>
      <c r="B26" s="2" t="s">
        <v>32</v>
      </c>
      <c r="C26" s="2">
        <v>90</v>
      </c>
      <c r="D26" s="2">
        <v>100</v>
      </c>
      <c r="E26" s="1">
        <f t="shared" si="5"/>
        <v>95</v>
      </c>
      <c r="F26" s="2">
        <f>INDEX(bounds!$A$6:$L$1048576,MATCH(targets!$A26,bounds!$A$6:$A$1048576,0), MATCH(F$1,bounds!$6:$6,0))</f>
        <v>1.3333333333333334E-2</v>
      </c>
      <c r="G26" s="2">
        <f>INDEX(bounds!$A$6:$L$1048576,MATCH(targets!$A26,bounds!$A$6:$A$1048576,0), MATCH(G$1,bounds!$6:$6,0))</f>
        <v>3.6641291512270503E-3</v>
      </c>
      <c r="H26" s="2">
        <f>INDEX(bounds!$A$6:$L$1048576,MATCH(targets!$A26,bounds!$A$6:$A$1048576,0), MATCH(H$1,bounds!$6:$6,0))</f>
        <v>4.7306908700367495E-2</v>
      </c>
      <c r="I26" s="1" t="s">
        <v>8</v>
      </c>
      <c r="J26" s="1" t="s">
        <v>13</v>
      </c>
      <c r="K26" s="1" t="s">
        <v>24</v>
      </c>
    </row>
    <row r="27" spans="1:11" x14ac:dyDescent="0.2">
      <c r="A27" s="1" t="str">
        <f t="shared" si="4"/>
        <v>incidence_clin_35</v>
      </c>
      <c r="B27" s="1" t="s">
        <v>36</v>
      </c>
      <c r="C27" s="1">
        <v>30</v>
      </c>
      <c r="D27" s="1">
        <f>C28</f>
        <v>40</v>
      </c>
      <c r="E27" s="1">
        <f t="shared" ref="E27" si="6">FLOOR(AVERAGE(C27,D27), 1)</f>
        <v>35</v>
      </c>
      <c r="F27" s="1">
        <v>4.1520000000000001</v>
      </c>
      <c r="G27" s="1">
        <v>3.6070000000000002</v>
      </c>
      <c r="H27" s="1">
        <v>4.7519999999999998</v>
      </c>
      <c r="I27" s="1" t="s">
        <v>8</v>
      </c>
      <c r="J27" s="1" t="s">
        <v>13</v>
      </c>
      <c r="K27" s="1" t="s">
        <v>21</v>
      </c>
    </row>
    <row r="28" spans="1:11" x14ac:dyDescent="0.2">
      <c r="A28" s="1" t="str">
        <f t="shared" si="4"/>
        <v>incidence_clin_45</v>
      </c>
      <c r="B28" s="1" t="s">
        <v>36</v>
      </c>
      <c r="C28" s="1">
        <v>40</v>
      </c>
      <c r="D28" s="1">
        <f t="shared" ref="D28:D31" si="7">C29</f>
        <v>50</v>
      </c>
      <c r="E28" s="1">
        <f t="shared" ref="E28:E32" si="8">FLOOR(AVERAGE(C28,D28), 1)</f>
        <v>45</v>
      </c>
      <c r="F28" s="1">
        <v>20.667999999999999</v>
      </c>
      <c r="G28" s="1">
        <v>19.263999999999999</v>
      </c>
      <c r="H28" s="1">
        <v>22.140999999999998</v>
      </c>
      <c r="I28" s="1" t="s">
        <v>8</v>
      </c>
      <c r="J28" s="1" t="s">
        <v>13</v>
      </c>
      <c r="K28" s="1" t="s">
        <v>21</v>
      </c>
    </row>
    <row r="29" spans="1:11" x14ac:dyDescent="0.2">
      <c r="A29" s="1" t="str">
        <f t="shared" si="4"/>
        <v>incidence_clin_55</v>
      </c>
      <c r="B29" s="1" t="s">
        <v>36</v>
      </c>
      <c r="C29" s="1">
        <v>50</v>
      </c>
      <c r="D29" s="1">
        <f t="shared" si="7"/>
        <v>60</v>
      </c>
      <c r="E29" s="1">
        <f t="shared" si="8"/>
        <v>55</v>
      </c>
      <c r="F29" s="1">
        <v>69.337999999999994</v>
      </c>
      <c r="G29" s="1">
        <v>66.747</v>
      </c>
      <c r="H29" s="1">
        <v>71.998999999999995</v>
      </c>
      <c r="I29" s="1" t="s">
        <v>8</v>
      </c>
      <c r="J29" s="1" t="s">
        <v>13</v>
      </c>
      <c r="K29" s="1" t="s">
        <v>21</v>
      </c>
    </row>
    <row r="30" spans="1:11" x14ac:dyDescent="0.2">
      <c r="A30" s="1" t="str">
        <f t="shared" si="4"/>
        <v>incidence_clin_65</v>
      </c>
      <c r="B30" s="1" t="s">
        <v>36</v>
      </c>
      <c r="C30" s="1">
        <v>60</v>
      </c>
      <c r="D30" s="1">
        <f t="shared" si="7"/>
        <v>70</v>
      </c>
      <c r="E30" s="1">
        <f t="shared" si="8"/>
        <v>65</v>
      </c>
      <c r="F30" s="1">
        <v>166.136</v>
      </c>
      <c r="G30" s="1">
        <v>161.41399999999999</v>
      </c>
      <c r="H30" s="1">
        <v>170.952</v>
      </c>
      <c r="I30" s="1" t="s">
        <v>8</v>
      </c>
      <c r="J30" s="1" t="s">
        <v>13</v>
      </c>
      <c r="K30" s="1" t="s">
        <v>21</v>
      </c>
    </row>
    <row r="31" spans="1:11" x14ac:dyDescent="0.2">
      <c r="A31" s="1" t="str">
        <f t="shared" si="4"/>
        <v>incidence_clin_75</v>
      </c>
      <c r="B31" s="1" t="s">
        <v>36</v>
      </c>
      <c r="C31" s="1">
        <v>70</v>
      </c>
      <c r="D31" s="1">
        <f t="shared" si="7"/>
        <v>80</v>
      </c>
      <c r="E31" s="1">
        <f t="shared" si="8"/>
        <v>75</v>
      </c>
      <c r="F31" s="1">
        <v>309.19900000000001</v>
      </c>
      <c r="G31" s="1">
        <v>300.73399999999998</v>
      </c>
      <c r="H31" s="1">
        <v>317.83</v>
      </c>
      <c r="I31" s="1" t="s">
        <v>8</v>
      </c>
      <c r="J31" s="1" t="s">
        <v>13</v>
      </c>
      <c r="K31" s="1" t="s">
        <v>21</v>
      </c>
    </row>
    <row r="32" spans="1:11" x14ac:dyDescent="0.2">
      <c r="A32" s="1" t="str">
        <f t="shared" si="4"/>
        <v>incidence_clin_90</v>
      </c>
      <c r="B32" s="1" t="s">
        <v>36</v>
      </c>
      <c r="C32" s="1">
        <v>80</v>
      </c>
      <c r="D32" s="1">
        <v>100</v>
      </c>
      <c r="E32" s="1">
        <f t="shared" si="8"/>
        <v>90</v>
      </c>
      <c r="F32" s="1">
        <v>428.28899999999999</v>
      </c>
      <c r="G32" s="1">
        <v>413.87099999999998</v>
      </c>
      <c r="H32" s="1">
        <v>443.053</v>
      </c>
      <c r="I32" s="1" t="s">
        <v>8</v>
      </c>
      <c r="J32" s="1" t="s">
        <v>13</v>
      </c>
      <c r="K32" s="1" t="s">
        <v>21</v>
      </c>
    </row>
    <row r="33" spans="1:11" x14ac:dyDescent="0.2">
      <c r="A33" s="1" t="str">
        <f t="shared" si="4"/>
        <v>stage_distr_1</v>
      </c>
      <c r="B33" s="1" t="s">
        <v>17</v>
      </c>
      <c r="E33" s="1">
        <v>1</v>
      </c>
      <c r="F33" s="2">
        <f>INDEX(bounds!$A$6:$L$1048576,MATCH(targets!$A33,bounds!$A$6:$A$1048576,0), MATCH(F$1,bounds!$6:$6,0))</f>
        <v>0.18080563434143854</v>
      </c>
      <c r="G33" s="2">
        <f>INDEX(bounds!$A$6:$L$1048576,MATCH(targets!$A33,bounds!$A$6:$A$1048576,0), MATCH(G$1,bounds!$6:$6,0))</f>
        <v>0.17781418443524724</v>
      </c>
      <c r="H33" s="2">
        <f>INDEX(bounds!$A$6:$L$1048576,MATCH(targets!$A33,bounds!$A$6:$A$1048576,0), MATCH(H$1,bounds!$6:$6,0))</f>
        <v>0.18383615805371881</v>
      </c>
      <c r="I33" s="1" t="s">
        <v>8</v>
      </c>
      <c r="J33" s="1" t="s">
        <v>13</v>
      </c>
      <c r="K33" s="1" t="s">
        <v>21</v>
      </c>
    </row>
    <row r="34" spans="1:11" x14ac:dyDescent="0.2">
      <c r="A34" s="1" t="str">
        <f t="shared" si="4"/>
        <v>stage_distr_2</v>
      </c>
      <c r="B34" s="1" t="s">
        <v>17</v>
      </c>
      <c r="E34" s="1">
        <v>2</v>
      </c>
      <c r="F34" s="2">
        <f>INDEX(bounds!$A$6:$L$1048576,MATCH(targets!$A34,bounds!$A$6:$A$1048576,0), MATCH(F$1,bounds!$6:$6,0))</f>
        <v>0.33584562924248701</v>
      </c>
      <c r="G34" s="2">
        <f>INDEX(bounds!$A$6:$L$1048576,MATCH(targets!$A34,bounds!$A$6:$A$1048576,0), MATCH(G$1,bounds!$6:$6,0))</f>
        <v>0.33216074653492256</v>
      </c>
      <c r="H34" s="2">
        <f>INDEX(bounds!$A$6:$L$1048576,MATCH(targets!$A34,bounds!$A$6:$A$1048576,0), MATCH(H$1,bounds!$6:$6,0))</f>
        <v>0.33955060671594262</v>
      </c>
      <c r="I34" s="1" t="s">
        <v>8</v>
      </c>
      <c r="J34" s="1" t="s">
        <v>13</v>
      </c>
      <c r="K34" s="1" t="s">
        <v>21</v>
      </c>
    </row>
    <row r="35" spans="1:11" x14ac:dyDescent="0.2">
      <c r="A35" s="1" t="str">
        <f t="shared" si="4"/>
        <v>stage_distr_3</v>
      </c>
      <c r="B35" s="1" t="s">
        <v>17</v>
      </c>
      <c r="E35" s="1">
        <v>3</v>
      </c>
      <c r="F35" s="2">
        <f>INDEX(bounds!$A$6:$L$1048576,MATCH(targets!$A35,bounds!$A$6:$A$1048576,0), MATCH(F$1,bounds!$6:$6,0))</f>
        <v>0.24546671340705567</v>
      </c>
      <c r="G35" s="2">
        <f>INDEX(bounds!$A$6:$L$1048576,MATCH(targets!$A35,bounds!$A$6:$A$1048576,0), MATCH(G$1,bounds!$6:$6,0))</f>
        <v>0.24211531360934294</v>
      </c>
      <c r="H35" s="2">
        <f>INDEX(bounds!$A$6:$L$1048576,MATCH(targets!$A35,bounds!$A$6:$A$1048576,0), MATCH(H$1,bounds!$6:$6,0))</f>
        <v>0.24884927160025891</v>
      </c>
      <c r="I35" s="1" t="s">
        <v>8</v>
      </c>
      <c r="J35" s="1" t="s">
        <v>13</v>
      </c>
      <c r="K35" s="1" t="s">
        <v>21</v>
      </c>
    </row>
    <row r="36" spans="1:11" x14ac:dyDescent="0.2">
      <c r="A36" s="1" t="str">
        <f t="shared" si="4"/>
        <v>stage_distr_4</v>
      </c>
      <c r="B36" s="1" t="s">
        <v>17</v>
      </c>
      <c r="E36" s="1">
        <v>4</v>
      </c>
      <c r="F36" s="2">
        <f>INDEX(bounds!$A$6:$L$1048576,MATCH(targets!$A36,bounds!$A$6:$A$1048576,0), MATCH(F$1,bounds!$6:$6,0))</f>
        <v>0.23788202300901878</v>
      </c>
      <c r="G36" s="2">
        <f>INDEX(bounds!$A$6:$L$1048576,MATCH(targets!$A36,bounds!$A$6:$A$1048576,0), MATCH(G$1,bounds!$6:$6,0))</f>
        <v>0.23456689332002215</v>
      </c>
      <c r="H36" s="2">
        <f>INDEX(bounds!$A$6:$L$1048576,MATCH(targets!$A36,bounds!$A$6:$A$1048576,0), MATCH(H$1,bounds!$6:$6,0))</f>
        <v>0.24122923956453721</v>
      </c>
      <c r="I36" s="1" t="s">
        <v>8</v>
      </c>
      <c r="J36" s="1" t="s">
        <v>13</v>
      </c>
      <c r="K36" s="1" t="s">
        <v>21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31A2-898F-7F45-AC2C-D0D6D35A5E8A}">
  <dimension ref="A1:L17"/>
  <sheetViews>
    <sheetView tabSelected="1" zoomScale="141" workbookViewId="0"/>
  </sheetViews>
  <sheetFormatPr baseColWidth="10" defaultRowHeight="16" x14ac:dyDescent="0.2"/>
  <cols>
    <col min="1" max="1" width="32.1640625" style="1" customWidth="1"/>
    <col min="2" max="16384" width="10.83203125" style="1"/>
  </cols>
  <sheetData>
    <row r="1" spans="1:12" x14ac:dyDescent="0.2">
      <c r="A1" s="1" t="s">
        <v>31</v>
      </c>
    </row>
    <row r="2" spans="1:12" x14ac:dyDescent="0.2">
      <c r="A2" s="1" t="s">
        <v>29</v>
      </c>
    </row>
    <row r="3" spans="1:12" x14ac:dyDescent="0.2">
      <c r="A3" s="1" t="s">
        <v>27</v>
      </c>
      <c r="B3" s="1">
        <v>0.05</v>
      </c>
    </row>
    <row r="4" spans="1:12" x14ac:dyDescent="0.2">
      <c r="A4" s="1" t="s">
        <v>28</v>
      </c>
      <c r="B4" s="1">
        <f>_xlfn.NORM.S.INV(1-B3/2)</f>
        <v>1.9599639845400536</v>
      </c>
    </row>
    <row r="6" spans="1:12" x14ac:dyDescent="0.2">
      <c r="A6" s="1" t="s">
        <v>0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15</v>
      </c>
      <c r="G6" s="1" t="s">
        <v>25</v>
      </c>
      <c r="H6" s="1" t="s">
        <v>26</v>
      </c>
      <c r="I6" s="1" t="s">
        <v>2</v>
      </c>
      <c r="J6" s="1" t="s">
        <v>30</v>
      </c>
      <c r="K6" s="1" t="s">
        <v>22</v>
      </c>
      <c r="L6" s="1" t="s">
        <v>23</v>
      </c>
    </row>
    <row r="7" spans="1:12" x14ac:dyDescent="0.2">
      <c r="A7" s="1" t="str">
        <f t="shared" ref="A7" si="0">"prevalence_preclin_"&amp;E7</f>
        <v>prevalence_preclin_35</v>
      </c>
      <c r="B7" s="1" t="s">
        <v>9</v>
      </c>
      <c r="C7" s="1">
        <v>30</v>
      </c>
      <c r="D7" s="1">
        <v>40</v>
      </c>
      <c r="E7" s="1">
        <f t="shared" ref="E7:E13" si="1">FLOOR(AVERAGE(C7,D7), 1)</f>
        <v>35</v>
      </c>
      <c r="G7" s="1">
        <v>344</v>
      </c>
      <c r="H7" s="1">
        <v>1</v>
      </c>
      <c r="I7" s="1">
        <f t="shared" ref="I7:I13" si="2">H7/G7</f>
        <v>2.9069767441860465E-3</v>
      </c>
      <c r="J7" s="1">
        <f t="shared" ref="J7:J13" si="3">$B$4^2/G7</f>
        <v>1.1167031455506174E-2</v>
      </c>
      <c r="K7" s="1">
        <f t="shared" ref="K7:K13" si="4">(I7+J7/2)/(J7+1)-$B$4/(J7+1)*SQRT(I7*(1-I7)/G7+J7/(4*G7))</f>
        <v>5.1333721812770253E-4</v>
      </c>
      <c r="L7" s="1">
        <f t="shared" ref="L7:L13" si="5">(I7+J7/2)/(J7+1)+$B$4/(J7+1)*SQRT(I7*(1-I7)/G7+J7/(4*G7))</f>
        <v>1.6280114719714151E-2</v>
      </c>
    </row>
    <row r="8" spans="1:12" x14ac:dyDescent="0.2">
      <c r="A8" s="1" t="str">
        <f t="shared" ref="A8:A13" si="6">"prevalence_preclin_"&amp;E8</f>
        <v>prevalence_preclin_45</v>
      </c>
      <c r="B8" s="1" t="s">
        <v>9</v>
      </c>
      <c r="C8" s="1">
        <v>40</v>
      </c>
      <c r="D8" s="1">
        <v>50</v>
      </c>
      <c r="E8" s="1">
        <f t="shared" si="1"/>
        <v>45</v>
      </c>
      <c r="G8" s="1">
        <v>547</v>
      </c>
      <c r="H8" s="1">
        <v>3</v>
      </c>
      <c r="I8" s="1">
        <f t="shared" si="2"/>
        <v>5.4844606946983544E-3</v>
      </c>
      <c r="J8" s="1">
        <f t="shared" si="3"/>
        <v>7.0227766374664049E-3</v>
      </c>
      <c r="K8" s="1">
        <f t="shared" si="4"/>
        <v>1.8669281252303872E-3</v>
      </c>
      <c r="L8" s="1">
        <f t="shared" si="5"/>
        <v>1.5999299376533674E-2</v>
      </c>
    </row>
    <row r="9" spans="1:12" x14ac:dyDescent="0.2">
      <c r="A9" s="1" t="str">
        <f t="shared" si="6"/>
        <v>prevalence_preclin_55</v>
      </c>
      <c r="B9" s="1" t="s">
        <v>9</v>
      </c>
      <c r="C9" s="1">
        <v>50</v>
      </c>
      <c r="D9" s="1">
        <v>60</v>
      </c>
      <c r="E9" s="1">
        <f t="shared" si="1"/>
        <v>55</v>
      </c>
      <c r="G9" s="1">
        <v>746</v>
      </c>
      <c r="H9" s="1">
        <v>5</v>
      </c>
      <c r="I9" s="1">
        <f t="shared" si="2"/>
        <v>6.7024128686327079E-3</v>
      </c>
      <c r="J9" s="1">
        <f t="shared" si="3"/>
        <v>5.1494086068285842E-3</v>
      </c>
      <c r="K9" s="1">
        <f t="shared" si="4"/>
        <v>2.8661685080304854E-3</v>
      </c>
      <c r="L9" s="1">
        <f t="shared" si="5"/>
        <v>1.5593011973218367E-2</v>
      </c>
    </row>
    <row r="10" spans="1:12" x14ac:dyDescent="0.2">
      <c r="A10" s="1" t="str">
        <f t="shared" si="6"/>
        <v>prevalence_preclin_65</v>
      </c>
      <c r="B10" s="1" t="s">
        <v>9</v>
      </c>
      <c r="C10" s="1">
        <v>60</v>
      </c>
      <c r="D10" s="1">
        <v>70</v>
      </c>
      <c r="E10" s="1">
        <f t="shared" si="1"/>
        <v>65</v>
      </c>
      <c r="G10" s="1">
        <v>1084</v>
      </c>
      <c r="H10" s="1">
        <v>17</v>
      </c>
      <c r="I10" s="1">
        <f t="shared" si="2"/>
        <v>1.5682656826568265E-2</v>
      </c>
      <c r="J10" s="1">
        <f t="shared" si="3"/>
        <v>3.543781199902328E-3</v>
      </c>
      <c r="K10" s="1">
        <f t="shared" si="4"/>
        <v>9.8142486381670446E-3</v>
      </c>
      <c r="L10" s="1">
        <f t="shared" si="5"/>
        <v>2.4971572874571808E-2</v>
      </c>
    </row>
    <row r="11" spans="1:12" x14ac:dyDescent="0.2">
      <c r="A11" s="1" t="str">
        <f t="shared" si="6"/>
        <v>prevalence_preclin_75</v>
      </c>
      <c r="B11" s="1" t="s">
        <v>9</v>
      </c>
      <c r="C11" s="1">
        <v>70</v>
      </c>
      <c r="D11" s="1">
        <v>80</v>
      </c>
      <c r="E11" s="1">
        <f t="shared" si="1"/>
        <v>75</v>
      </c>
      <c r="G11" s="1">
        <v>1428</v>
      </c>
      <c r="H11" s="1">
        <v>26</v>
      </c>
      <c r="I11" s="1">
        <f t="shared" si="2"/>
        <v>1.8207282913165267E-2</v>
      </c>
      <c r="J11" s="1">
        <f t="shared" si="3"/>
        <v>2.690097213371235E-3</v>
      </c>
      <c r="K11" s="1">
        <f t="shared" si="4"/>
        <v>1.2455064037696518E-2</v>
      </c>
      <c r="L11" s="1">
        <f t="shared" si="5"/>
        <v>2.6544685883420276E-2</v>
      </c>
    </row>
    <row r="12" spans="1:12" x14ac:dyDescent="0.2">
      <c r="A12" s="1" t="str">
        <f t="shared" si="6"/>
        <v>prevalence_preclin_85</v>
      </c>
      <c r="B12" s="1" t="s">
        <v>9</v>
      </c>
      <c r="C12" s="1">
        <v>80</v>
      </c>
      <c r="D12" s="1">
        <v>90</v>
      </c>
      <c r="E12" s="1">
        <f t="shared" si="1"/>
        <v>85</v>
      </c>
      <c r="G12" s="1">
        <v>887</v>
      </c>
      <c r="H12" s="1">
        <v>23</v>
      </c>
      <c r="I12" s="1">
        <f t="shared" si="2"/>
        <v>2.5930101465614429E-2</v>
      </c>
      <c r="J12" s="1">
        <f t="shared" si="3"/>
        <v>4.330844217242529E-3</v>
      </c>
      <c r="K12" s="1">
        <f t="shared" si="4"/>
        <v>1.7339774526665963E-2</v>
      </c>
      <c r="L12" s="1">
        <f t="shared" si="5"/>
        <v>3.8608967336644713E-2</v>
      </c>
    </row>
    <row r="13" spans="1:12" x14ac:dyDescent="0.2">
      <c r="A13" s="1" t="str">
        <f t="shared" si="6"/>
        <v>prevalence_preclin_95</v>
      </c>
      <c r="B13" s="1" t="s">
        <v>9</v>
      </c>
      <c r="C13" s="1">
        <v>90</v>
      </c>
      <c r="D13" s="1">
        <v>100</v>
      </c>
      <c r="E13" s="1">
        <f t="shared" si="1"/>
        <v>95</v>
      </c>
      <c r="G13" s="1">
        <v>150</v>
      </c>
      <c r="H13" s="1">
        <v>2</v>
      </c>
      <c r="I13" s="1">
        <f t="shared" si="2"/>
        <v>1.3333333333333334E-2</v>
      </c>
      <c r="J13" s="1">
        <f t="shared" si="3"/>
        <v>2.5609725471294156E-2</v>
      </c>
      <c r="K13" s="1">
        <f t="shared" si="4"/>
        <v>3.6641291512270503E-3</v>
      </c>
      <c r="L13" s="1">
        <f t="shared" si="5"/>
        <v>4.7306908700367495E-2</v>
      </c>
    </row>
    <row r="14" spans="1:12" x14ac:dyDescent="0.2">
      <c r="A14" s="1" t="s">
        <v>16</v>
      </c>
      <c r="B14" s="1" t="s">
        <v>17</v>
      </c>
      <c r="E14" s="1">
        <v>1</v>
      </c>
      <c r="G14" s="1">
        <v>62758</v>
      </c>
      <c r="H14" s="1">
        <v>11347</v>
      </c>
      <c r="I14" s="1">
        <f t="shared" ref="I14:I17" si="7">H14/G14</f>
        <v>0.18080563434143854</v>
      </c>
      <c r="J14" s="1">
        <f t="shared" ref="J14:J17" si="8">$B$4^2/G14</f>
        <v>6.1210663512127909E-5</v>
      </c>
      <c r="K14" s="1">
        <f t="shared" ref="K14:K17" si="9">(I14+J14/2)/(J14+1)-$B$4/(J14+1)*SQRT(I14*(1-I14)/G14+J14/(4*G14))</f>
        <v>0.17781418443524724</v>
      </c>
      <c r="L14" s="1">
        <f t="shared" ref="L14:L17" si="10">(I14+J14/2)/(J14+1)+$B$4/(J14+1)*SQRT(I14*(1-I14)/G14+J14/(4*G14))</f>
        <v>0.18383615805371881</v>
      </c>
    </row>
    <row r="15" spans="1:12" x14ac:dyDescent="0.2">
      <c r="A15" s="1" t="s">
        <v>18</v>
      </c>
      <c r="B15" s="1" t="s">
        <v>17</v>
      </c>
      <c r="E15" s="1">
        <v>2</v>
      </c>
      <c r="G15" s="1">
        <v>62758</v>
      </c>
      <c r="H15" s="1">
        <v>21077</v>
      </c>
      <c r="I15" s="1">
        <f t="shared" si="7"/>
        <v>0.33584562924248701</v>
      </c>
      <c r="J15" s="1">
        <f t="shared" si="8"/>
        <v>6.1210663512127909E-5</v>
      </c>
      <c r="K15" s="1">
        <f t="shared" si="9"/>
        <v>0.33216074653492256</v>
      </c>
      <c r="L15" s="1">
        <f t="shared" si="10"/>
        <v>0.33955060671594262</v>
      </c>
    </row>
    <row r="16" spans="1:12" x14ac:dyDescent="0.2">
      <c r="A16" s="1" t="s">
        <v>19</v>
      </c>
      <c r="B16" s="1" t="s">
        <v>17</v>
      </c>
      <c r="E16" s="1">
        <v>3</v>
      </c>
      <c r="G16" s="1">
        <v>62758</v>
      </c>
      <c r="H16" s="1">
        <v>15405</v>
      </c>
      <c r="I16" s="1">
        <f t="shared" si="7"/>
        <v>0.24546671340705567</v>
      </c>
      <c r="J16" s="1">
        <f t="shared" si="8"/>
        <v>6.1210663512127909E-5</v>
      </c>
      <c r="K16" s="1">
        <f t="shared" si="9"/>
        <v>0.24211531360934294</v>
      </c>
      <c r="L16" s="1">
        <f t="shared" si="10"/>
        <v>0.24884927160025891</v>
      </c>
    </row>
    <row r="17" spans="1:12" x14ac:dyDescent="0.2">
      <c r="A17" s="1" t="s">
        <v>20</v>
      </c>
      <c r="B17" s="1" t="s">
        <v>17</v>
      </c>
      <c r="E17" s="1">
        <v>4</v>
      </c>
      <c r="G17" s="1">
        <v>62758</v>
      </c>
      <c r="H17" s="1">
        <v>14929</v>
      </c>
      <c r="I17" s="1">
        <f t="shared" si="7"/>
        <v>0.23788202300901878</v>
      </c>
      <c r="J17" s="1">
        <f t="shared" si="8"/>
        <v>6.1210663512127909E-5</v>
      </c>
      <c r="K17" s="1">
        <f t="shared" si="9"/>
        <v>0.23456689332002215</v>
      </c>
      <c r="L17" s="1">
        <f t="shared" si="10"/>
        <v>0.24122923956453721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Junyi Pi</dc:creator>
  <cp:lastModifiedBy>Selina Junyi Pi</cp:lastModifiedBy>
  <dcterms:created xsi:type="dcterms:W3CDTF">2025-08-15T23:43:48Z</dcterms:created>
  <dcterms:modified xsi:type="dcterms:W3CDTF">2025-09-19T00:41:06Z</dcterms:modified>
</cp:coreProperties>
</file>