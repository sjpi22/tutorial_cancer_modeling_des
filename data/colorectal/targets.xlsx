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colorectal/"/>
    </mc:Choice>
  </mc:AlternateContent>
  <xr:revisionPtr revIDLastSave="0" documentId="13_ncr:1_{35B703CF-92F4-BC4F-8D91-337EA9439AAE}" xr6:coauthVersionLast="47" xr6:coauthVersionMax="47" xr10:uidLastSave="{00000000-0000-0000-0000-000000000000}"/>
  <bookViews>
    <workbookView xWindow="0" yWindow="500" windowWidth="15120" windowHeight="17920" xr2:uid="{A45334B4-46D3-3441-9F0C-EDD51E1C86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3" i="1" l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E120" i="1"/>
  <c r="E119" i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E106" i="1"/>
  <c r="E77" i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E64" i="1"/>
  <c r="E63" i="1"/>
  <c r="E57" i="1"/>
  <c r="E56" i="1"/>
  <c r="E50" i="1"/>
  <c r="D62" i="1"/>
  <c r="E62" i="1" s="1"/>
  <c r="D61" i="1"/>
  <c r="E61" i="1" s="1"/>
  <c r="D60" i="1"/>
  <c r="E60" i="1" s="1"/>
  <c r="D59" i="1"/>
  <c r="E59" i="1" s="1"/>
  <c r="D58" i="1"/>
  <c r="E58" i="1" s="1"/>
  <c r="D57" i="1"/>
  <c r="D56" i="1"/>
  <c r="D55" i="1"/>
  <c r="E55" i="1" s="1"/>
  <c r="D54" i="1"/>
  <c r="E54" i="1" s="1"/>
  <c r="D53" i="1"/>
  <c r="E53" i="1" s="1"/>
  <c r="D52" i="1"/>
  <c r="E52" i="1" s="1"/>
  <c r="D51" i="1"/>
  <c r="E51" i="1" s="1"/>
  <c r="F49" i="1" l="1"/>
  <c r="F48" i="1"/>
  <c r="F47" i="1"/>
  <c r="F46" i="1"/>
  <c r="F45" i="1"/>
  <c r="F44" i="1"/>
  <c r="F43" i="1"/>
  <c r="F42" i="1"/>
  <c r="F41" i="1"/>
  <c r="F40" i="1"/>
  <c r="A49" i="1"/>
  <c r="A48" i="1"/>
  <c r="A47" i="1"/>
  <c r="A46" i="1"/>
  <c r="A45" i="1"/>
  <c r="A44" i="1" l="1"/>
  <c r="A43" i="1"/>
  <c r="A42" i="1"/>
  <c r="A41" i="1"/>
  <c r="A40" i="1"/>
  <c r="E33" i="1"/>
  <c r="A33" i="1" s="1"/>
  <c r="E29" i="1"/>
  <c r="A29" i="1" s="1"/>
  <c r="E19" i="1"/>
  <c r="A19" i="1" s="1"/>
  <c r="E17" i="1"/>
  <c r="A17" i="1" s="1"/>
  <c r="D32" i="1"/>
  <c r="E32" i="1" s="1"/>
  <c r="A32" i="1" s="1"/>
  <c r="D31" i="1"/>
  <c r="E31" i="1" s="1"/>
  <c r="A31" i="1" s="1"/>
  <c r="D30" i="1"/>
  <c r="E30" i="1" s="1"/>
  <c r="A30" i="1" s="1"/>
  <c r="D29" i="1"/>
  <c r="D28" i="1"/>
  <c r="E28" i="1" s="1"/>
  <c r="A28" i="1" s="1"/>
  <c r="D27" i="1"/>
  <c r="E27" i="1" s="1"/>
  <c r="A27" i="1" s="1"/>
  <c r="D26" i="1"/>
  <c r="E26" i="1" s="1"/>
  <c r="A26" i="1" s="1"/>
  <c r="D25" i="1"/>
  <c r="E25" i="1" s="1"/>
  <c r="A25" i="1" s="1"/>
  <c r="D24" i="1"/>
  <c r="E24" i="1" s="1"/>
  <c r="A24" i="1" s="1"/>
  <c r="D23" i="1"/>
  <c r="E23" i="1" s="1"/>
  <c r="A23" i="1" s="1"/>
  <c r="D22" i="1"/>
  <c r="E22" i="1" s="1"/>
  <c r="A22" i="1" s="1"/>
  <c r="D21" i="1"/>
  <c r="E21" i="1" s="1"/>
  <c r="A21" i="1" s="1"/>
  <c r="D20" i="1"/>
  <c r="E20" i="1" s="1"/>
  <c r="A20" i="1" s="1"/>
  <c r="D19" i="1"/>
  <c r="D18" i="1"/>
  <c r="E18" i="1" s="1"/>
  <c r="A18" i="1" s="1"/>
  <c r="D16" i="1"/>
  <c r="E16" i="1" s="1"/>
  <c r="A16" i="1" s="1"/>
  <c r="D15" i="1"/>
  <c r="E15" i="1" s="1"/>
  <c r="A15" i="1" s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6" i="1"/>
  <c r="E6" i="1" s="1"/>
  <c r="A6" i="1" s="1"/>
  <c r="D5" i="1"/>
  <c r="E5" i="1" s="1"/>
  <c r="A5" i="1" s="1"/>
  <c r="D4" i="1"/>
  <c r="E4" i="1" s="1"/>
  <c r="A4" i="1" s="1"/>
  <c r="D3" i="1"/>
  <c r="E3" i="1" s="1"/>
  <c r="A3" i="1" s="1"/>
  <c r="D2" i="1"/>
  <c r="E2" i="1" s="1"/>
  <c r="A2" i="1" s="1"/>
</calcChain>
</file>

<file path=xl/sharedStrings.xml><?xml version="1.0" encoding="utf-8"?>
<sst xmlns="http://schemas.openxmlformats.org/spreadsheetml/2006/main" count="774" uniqueCount="91">
  <si>
    <t>target_names</t>
  </si>
  <si>
    <t>target_groups</t>
  </si>
  <si>
    <t>targets</t>
  </si>
  <si>
    <t>stopping_lower_bounds</t>
  </si>
  <si>
    <t>stopping_upper_bounds</t>
  </si>
  <si>
    <t>lesion_type</t>
  </si>
  <si>
    <t>age_start</t>
  </si>
  <si>
    <t>age_end</t>
  </si>
  <si>
    <t>target_index</t>
  </si>
  <si>
    <t>sex</t>
  </si>
  <si>
    <t>male</t>
  </si>
  <si>
    <t>female</t>
  </si>
  <si>
    <t>prevalence</t>
  </si>
  <si>
    <t>num_lesion</t>
  </si>
  <si>
    <t>size_lesion</t>
  </si>
  <si>
    <t>both</t>
  </si>
  <si>
    <t>source</t>
  </si>
  <si>
    <t>Rutter et al. 2009</t>
  </si>
  <si>
    <t>Meester et al. 2020</t>
  </si>
  <si>
    <t>incidence</t>
  </si>
  <si>
    <t>n</t>
  </si>
  <si>
    <t>Berg et al. 1970</t>
  </si>
  <si>
    <t>AP</t>
  </si>
  <si>
    <t>CRC</t>
  </si>
  <si>
    <t>ap_num_lesion_1</t>
  </si>
  <si>
    <t>ap_num_lesion_2</t>
  </si>
  <si>
    <t>ap_num_lesion_3plus</t>
  </si>
  <si>
    <t>ap_size_lesion_1</t>
  </si>
  <si>
    <t>ap_size_lesion_6</t>
  </si>
  <si>
    <t>ap_size_lesion_10plus</t>
  </si>
  <si>
    <t>3+</t>
  </si>
  <si>
    <t>&lt;5</t>
  </si>
  <si>
    <t>10+</t>
  </si>
  <si>
    <t>6-9</t>
  </si>
  <si>
    <t>clin1_inc_22</t>
  </si>
  <si>
    <t>clin1_inc_27</t>
  </si>
  <si>
    <t>clin1_inc_32</t>
  </si>
  <si>
    <t>clin1_inc_37</t>
  </si>
  <si>
    <t>clin1_inc_42</t>
  </si>
  <si>
    <t>clin1_inc_47</t>
  </si>
  <si>
    <t>clin1_inc_52</t>
  </si>
  <si>
    <t>clin1_inc_57</t>
  </si>
  <si>
    <t>clin1_inc_62</t>
  </si>
  <si>
    <t>clin1_inc_67</t>
  </si>
  <si>
    <t>clin1_inc_72</t>
  </si>
  <si>
    <t>clin1_inc_77</t>
  </si>
  <si>
    <t>clin1_inc_82</t>
  </si>
  <si>
    <t>clin1_inc_85plus</t>
  </si>
  <si>
    <t>SEER 1975-1979</t>
  </si>
  <si>
    <t>clin2_inc_22</t>
  </si>
  <si>
    <t>clin2_inc_27</t>
  </si>
  <si>
    <t>clin2_inc_32</t>
  </si>
  <si>
    <t>clin2_inc_37</t>
  </si>
  <si>
    <t>clin2_inc_42</t>
  </si>
  <si>
    <t>clin2_inc_47</t>
  </si>
  <si>
    <t>clin2_inc_52</t>
  </si>
  <si>
    <t>clin2_inc_57</t>
  </si>
  <si>
    <t>clin2_inc_62</t>
  </si>
  <si>
    <t>clin2_inc_67</t>
  </si>
  <si>
    <t>clin2_inc_72</t>
  </si>
  <si>
    <t>clin2_inc_77</t>
  </si>
  <si>
    <t>clin2_inc_82</t>
  </si>
  <si>
    <t>clin2_inc_85plus</t>
  </si>
  <si>
    <t>clin3_inc_22</t>
  </si>
  <si>
    <t>clin3_inc_27</t>
  </si>
  <si>
    <t>clin3_inc_32</t>
  </si>
  <si>
    <t>clin3_inc_37</t>
  </si>
  <si>
    <t>clin3_inc_42</t>
  </si>
  <si>
    <t>clin3_inc_47</t>
  </si>
  <si>
    <t>clin3_inc_52</t>
  </si>
  <si>
    <t>clin3_inc_57</t>
  </si>
  <si>
    <t>clin3_inc_62</t>
  </si>
  <si>
    <t>clin3_inc_67</t>
  </si>
  <si>
    <t>clin3_inc_72</t>
  </si>
  <si>
    <t>clin3_inc_77</t>
  </si>
  <si>
    <t>clin3_inc_82</t>
  </si>
  <si>
    <t>clin3_inc_85plus</t>
  </si>
  <si>
    <t>clin4_inc_22</t>
  </si>
  <si>
    <t>clin4_inc_27</t>
  </si>
  <si>
    <t>clin4_inc_32</t>
  </si>
  <si>
    <t>clin4_inc_37</t>
  </si>
  <si>
    <t>clin4_inc_42</t>
  </si>
  <si>
    <t>clin4_inc_47</t>
  </si>
  <si>
    <t>clin4_inc_52</t>
  </si>
  <si>
    <t>clin4_inc_57</t>
  </si>
  <si>
    <t>clin4_inc_62</t>
  </si>
  <si>
    <t>clin4_inc_67</t>
  </si>
  <si>
    <t>clin4_inc_72</t>
  </si>
  <si>
    <t>clin4_inc_77</t>
  </si>
  <si>
    <t>clin4_inc_82</t>
  </si>
  <si>
    <t>clin4_inc_85plus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</si>
</sst>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L161"/>
  <sheetViews>
    <sheetView tabSelected="1" workbookViewId="0">
      <selection activeCell="B7" sqref="B7"/>
    </sheetView>
  </sheetViews>
  <sheetFormatPr baseColWidth="10" defaultRowHeight="16" x14ac:dyDescent="0.2"/>
  <cols>
    <col min="1" max="1" width="20" style="1" customWidth="1"/>
    <col min="2" max="2" width="16.5" style="1" customWidth="1"/>
    <col min="3" max="16384" width="10.83203125" style="1"/>
  </cols>
  <sheetData>
    <row r="1" spans="1:12" x14ac:dyDescent="0.2">
      <c r="A1" s="2" t="s">
        <v>0</v>
      </c>
      <c r="B1" s="2" t="s">
        <v>1</v>
      </c>
      <c r="C1" s="2" t="s">
        <v>6</v>
      </c>
      <c r="D1" s="2" t="s">
        <v>7</v>
      </c>
      <c r="E1" s="2" t="s">
        <v>8</v>
      </c>
      <c r="F1" s="2" t="s">
        <v>2</v>
      </c>
      <c r="G1" s="2" t="s">
        <v>3</v>
      </c>
      <c r="H1" s="2" t="s">
        <v>4</v>
      </c>
      <c r="I1" s="2" t="s">
        <v>20</v>
      </c>
      <c r="J1" s="2" t="s">
        <v>9</v>
      </c>
      <c r="K1" s="2" t="s">
        <v>5</v>
      </c>
      <c r="L1" s="2" t="s">
        <v>16</v>
      </c>
    </row>
    <row r="2" spans="1:12" x14ac:dyDescent="0.2">
      <c r="A2" s="1" t="str">
        <f>"ap_"&amp;B2&amp;"_"&amp;E2</f>
        <v>ap_prevalence_27</v>
      </c>
      <c r="B2" s="2" t="s">
        <v>12</v>
      </c>
      <c r="C2" s="1">
        <v>25</v>
      </c>
      <c r="D2" s="1">
        <f>C3</f>
        <v>30</v>
      </c>
      <c r="E2" s="1">
        <f>FLOOR(AVERAGE(C2,D2), 1)</f>
        <v>27</v>
      </c>
      <c r="F2" s="1">
        <v>0.18999999999999995</v>
      </c>
      <c r="G2" s="1">
        <v>1.0000000000000009E-2</v>
      </c>
      <c r="H2" s="1">
        <v>0.42000000000000004</v>
      </c>
      <c r="J2" s="1" t="s">
        <v>10</v>
      </c>
      <c r="K2" s="1" t="s">
        <v>22</v>
      </c>
      <c r="L2" s="1" t="s">
        <v>17</v>
      </c>
    </row>
    <row r="3" spans="1:12" x14ac:dyDescent="0.2">
      <c r="A3" s="1" t="str">
        <f t="shared" ref="A3:A33" si="0">"ap_"&amp;B3&amp;"_"&amp;E3</f>
        <v>ap_prevalence_32</v>
      </c>
      <c r="B3" s="2" t="s">
        <v>12</v>
      </c>
      <c r="C3" s="1">
        <v>30</v>
      </c>
      <c r="D3" s="1">
        <f t="shared" ref="D3:D32" si="1">C4</f>
        <v>35</v>
      </c>
      <c r="E3" s="1">
        <f t="shared" ref="E3:E33" si="2">FLOOR(AVERAGE(C3,D3), 1)</f>
        <v>32</v>
      </c>
      <c r="F3" s="1">
        <v>0.21999999999999997</v>
      </c>
      <c r="G3" s="1">
        <v>2.0000000000000018E-2</v>
      </c>
      <c r="H3" s="1">
        <v>0.48</v>
      </c>
      <c r="J3" s="1" t="s">
        <v>10</v>
      </c>
      <c r="K3" s="1" t="s">
        <v>22</v>
      </c>
      <c r="L3" s="1" t="s">
        <v>17</v>
      </c>
    </row>
    <row r="4" spans="1:12" x14ac:dyDescent="0.2">
      <c r="A4" s="1" t="str">
        <f t="shared" si="0"/>
        <v>ap_prevalence_37</v>
      </c>
      <c r="B4" s="2" t="s">
        <v>12</v>
      </c>
      <c r="C4" s="1">
        <v>35</v>
      </c>
      <c r="D4" s="1">
        <f t="shared" si="1"/>
        <v>40</v>
      </c>
      <c r="E4" s="1">
        <f t="shared" si="2"/>
        <v>37</v>
      </c>
      <c r="F4" s="1">
        <v>0.26</v>
      </c>
      <c r="G4" s="1">
        <v>2.0000000000000018E-2</v>
      </c>
      <c r="H4" s="1">
        <v>0.54</v>
      </c>
      <c r="J4" s="1" t="s">
        <v>10</v>
      </c>
      <c r="K4" s="1" t="s">
        <v>22</v>
      </c>
      <c r="L4" s="1" t="s">
        <v>17</v>
      </c>
    </row>
    <row r="5" spans="1:12" x14ac:dyDescent="0.2">
      <c r="A5" s="1" t="str">
        <f t="shared" si="0"/>
        <v>ap_prevalence_42</v>
      </c>
      <c r="B5" s="2" t="s">
        <v>12</v>
      </c>
      <c r="C5" s="1">
        <v>40</v>
      </c>
      <c r="D5" s="1">
        <f t="shared" si="1"/>
        <v>45</v>
      </c>
      <c r="E5" s="1">
        <f t="shared" si="2"/>
        <v>42</v>
      </c>
      <c r="F5" s="1">
        <v>0.29000000000000004</v>
      </c>
      <c r="G5" s="1">
        <v>4.0000000000000036E-2</v>
      </c>
      <c r="H5" s="1">
        <v>0.59000000000000008</v>
      </c>
      <c r="J5" s="1" t="s">
        <v>10</v>
      </c>
      <c r="K5" s="1" t="s">
        <v>22</v>
      </c>
      <c r="L5" s="1" t="s">
        <v>17</v>
      </c>
    </row>
    <row r="6" spans="1:12" x14ac:dyDescent="0.2">
      <c r="A6" s="1" t="str">
        <f t="shared" si="0"/>
        <v>ap_prevalence_47</v>
      </c>
      <c r="B6" s="2" t="s">
        <v>12</v>
      </c>
      <c r="C6" s="1">
        <v>45</v>
      </c>
      <c r="D6" s="1">
        <f t="shared" si="1"/>
        <v>50</v>
      </c>
      <c r="E6" s="1">
        <f t="shared" si="2"/>
        <v>47</v>
      </c>
      <c r="F6" s="1">
        <v>0.32999999999999996</v>
      </c>
      <c r="G6" s="1">
        <v>5.0000000000000044E-2</v>
      </c>
      <c r="H6" s="1">
        <v>0.65</v>
      </c>
      <c r="J6" s="1" t="s">
        <v>10</v>
      </c>
      <c r="K6" s="1" t="s">
        <v>22</v>
      </c>
      <c r="L6" s="1" t="s">
        <v>17</v>
      </c>
    </row>
    <row r="7" spans="1:12" x14ac:dyDescent="0.2">
      <c r="A7" s="1" t="str">
        <f t="shared" si="0"/>
        <v>ap_prevalence_52</v>
      </c>
      <c r="B7" s="2" t="s">
        <v>12</v>
      </c>
      <c r="C7" s="1">
        <v>50</v>
      </c>
      <c r="D7" s="1">
        <f t="shared" si="1"/>
        <v>55</v>
      </c>
      <c r="E7" s="1">
        <f t="shared" si="2"/>
        <v>52</v>
      </c>
      <c r="F7" s="1">
        <v>0.37</v>
      </c>
      <c r="G7" s="1">
        <v>6.9999999999999951E-2</v>
      </c>
      <c r="H7" s="1">
        <v>0.7</v>
      </c>
      <c r="J7" s="1" t="s">
        <v>10</v>
      </c>
      <c r="K7" s="1" t="s">
        <v>22</v>
      </c>
      <c r="L7" s="1" t="s">
        <v>17</v>
      </c>
    </row>
    <row r="8" spans="1:12" x14ac:dyDescent="0.2">
      <c r="A8" s="1" t="str">
        <f t="shared" si="0"/>
        <v>ap_prevalence_57</v>
      </c>
      <c r="B8" s="2" t="s">
        <v>12</v>
      </c>
      <c r="C8" s="1">
        <v>55</v>
      </c>
      <c r="D8" s="1">
        <f t="shared" si="1"/>
        <v>60</v>
      </c>
      <c r="E8" s="1">
        <f t="shared" si="2"/>
        <v>57</v>
      </c>
      <c r="F8" s="1">
        <v>0.41000000000000003</v>
      </c>
      <c r="G8" s="1">
        <v>9.9999999999999978E-2</v>
      </c>
      <c r="H8" s="1">
        <v>0.74</v>
      </c>
      <c r="J8" s="1" t="s">
        <v>10</v>
      </c>
      <c r="K8" s="1" t="s">
        <v>22</v>
      </c>
      <c r="L8" s="1" t="s">
        <v>17</v>
      </c>
    </row>
    <row r="9" spans="1:12" x14ac:dyDescent="0.2">
      <c r="A9" s="1" t="str">
        <f t="shared" si="0"/>
        <v>ap_prevalence_62</v>
      </c>
      <c r="B9" s="2" t="s">
        <v>12</v>
      </c>
      <c r="C9" s="1">
        <v>60</v>
      </c>
      <c r="D9" s="1">
        <f t="shared" si="1"/>
        <v>65</v>
      </c>
      <c r="E9" s="1">
        <f t="shared" si="2"/>
        <v>62</v>
      </c>
      <c r="F9" s="1">
        <v>0.44999999999999996</v>
      </c>
      <c r="G9" s="1">
        <v>0.12</v>
      </c>
      <c r="H9" s="1">
        <v>0.79</v>
      </c>
      <c r="J9" s="1" t="s">
        <v>10</v>
      </c>
      <c r="K9" s="1" t="s">
        <v>22</v>
      </c>
      <c r="L9" s="1" t="s">
        <v>17</v>
      </c>
    </row>
    <row r="10" spans="1:12" x14ac:dyDescent="0.2">
      <c r="A10" s="1" t="str">
        <f t="shared" si="0"/>
        <v>ap_prevalence_67</v>
      </c>
      <c r="B10" s="2" t="s">
        <v>12</v>
      </c>
      <c r="C10" s="1">
        <v>65</v>
      </c>
      <c r="D10" s="1">
        <f t="shared" si="1"/>
        <v>70</v>
      </c>
      <c r="E10" s="1">
        <f t="shared" si="2"/>
        <v>67</v>
      </c>
      <c r="F10" s="1">
        <v>0.49</v>
      </c>
      <c r="G10" s="1">
        <v>0.15000000000000002</v>
      </c>
      <c r="H10" s="1">
        <v>0.84</v>
      </c>
      <c r="J10" s="1" t="s">
        <v>10</v>
      </c>
      <c r="K10" s="1" t="s">
        <v>22</v>
      </c>
      <c r="L10" s="1" t="s">
        <v>17</v>
      </c>
    </row>
    <row r="11" spans="1:12" x14ac:dyDescent="0.2">
      <c r="A11" s="1" t="str">
        <f t="shared" si="0"/>
        <v>ap_prevalence_72</v>
      </c>
      <c r="B11" s="2" t="s">
        <v>12</v>
      </c>
      <c r="C11" s="1">
        <v>70</v>
      </c>
      <c r="D11" s="1">
        <f t="shared" si="1"/>
        <v>75</v>
      </c>
      <c r="E11" s="1">
        <f t="shared" si="2"/>
        <v>72</v>
      </c>
      <c r="F11" s="1">
        <v>0.53</v>
      </c>
      <c r="G11" s="1">
        <v>0.18999999999999995</v>
      </c>
      <c r="H11" s="1">
        <v>0.88</v>
      </c>
      <c r="J11" s="1" t="s">
        <v>10</v>
      </c>
      <c r="K11" s="1" t="s">
        <v>22</v>
      </c>
      <c r="L11" s="1" t="s">
        <v>17</v>
      </c>
    </row>
    <row r="12" spans="1:12" x14ac:dyDescent="0.2">
      <c r="A12" s="1" t="str">
        <f t="shared" si="0"/>
        <v>ap_prevalence_77</v>
      </c>
      <c r="B12" s="2" t="s">
        <v>12</v>
      </c>
      <c r="C12" s="1">
        <v>75</v>
      </c>
      <c r="D12" s="1">
        <f t="shared" si="1"/>
        <v>80</v>
      </c>
      <c r="E12" s="1">
        <f t="shared" si="2"/>
        <v>77</v>
      </c>
      <c r="F12" s="1">
        <v>0.57000000000000006</v>
      </c>
      <c r="G12" s="1">
        <v>0.21999999999999997</v>
      </c>
      <c r="H12" s="1">
        <v>0.91</v>
      </c>
      <c r="J12" s="1" t="s">
        <v>10</v>
      </c>
      <c r="K12" s="1" t="s">
        <v>22</v>
      </c>
      <c r="L12" s="1" t="s">
        <v>17</v>
      </c>
    </row>
    <row r="13" spans="1:12" x14ac:dyDescent="0.2">
      <c r="A13" s="1" t="str">
        <f t="shared" si="0"/>
        <v>ap_prevalence_82</v>
      </c>
      <c r="B13" s="2" t="s">
        <v>12</v>
      </c>
      <c r="C13" s="1">
        <v>80</v>
      </c>
      <c r="D13" s="1">
        <f t="shared" si="1"/>
        <v>85</v>
      </c>
      <c r="E13" s="1">
        <f t="shared" si="2"/>
        <v>82</v>
      </c>
      <c r="F13" s="1">
        <v>0.6</v>
      </c>
      <c r="G13" s="1">
        <v>0.27</v>
      </c>
      <c r="H13" s="1">
        <v>0.92999999999999994</v>
      </c>
      <c r="J13" s="1" t="s">
        <v>10</v>
      </c>
      <c r="K13" s="1" t="s">
        <v>22</v>
      </c>
      <c r="L13" s="1" t="s">
        <v>17</v>
      </c>
    </row>
    <row r="14" spans="1:12" x14ac:dyDescent="0.2">
      <c r="A14" s="1" t="str">
        <f t="shared" si="0"/>
        <v>ap_prevalence_87</v>
      </c>
      <c r="B14" s="2" t="s">
        <v>12</v>
      </c>
      <c r="C14" s="1">
        <v>85</v>
      </c>
      <c r="D14" s="1">
        <f t="shared" si="1"/>
        <v>90</v>
      </c>
      <c r="E14" s="1">
        <f t="shared" si="2"/>
        <v>87</v>
      </c>
      <c r="F14" s="1">
        <v>0.64</v>
      </c>
      <c r="G14" s="1">
        <v>0.31999999999999995</v>
      </c>
      <c r="H14" s="1">
        <v>0.95</v>
      </c>
      <c r="J14" s="1" t="s">
        <v>10</v>
      </c>
      <c r="K14" s="1" t="s">
        <v>22</v>
      </c>
      <c r="L14" s="1" t="s">
        <v>17</v>
      </c>
    </row>
    <row r="15" spans="1:12" x14ac:dyDescent="0.2">
      <c r="A15" s="1" t="str">
        <f t="shared" si="0"/>
        <v>ap_prevalence_92</v>
      </c>
      <c r="B15" s="2" t="s">
        <v>12</v>
      </c>
      <c r="C15" s="1">
        <v>90</v>
      </c>
      <c r="D15" s="1">
        <f t="shared" si="1"/>
        <v>95</v>
      </c>
      <c r="E15" s="1">
        <f t="shared" si="2"/>
        <v>92</v>
      </c>
      <c r="F15" s="1">
        <v>0.67999999999999994</v>
      </c>
      <c r="G15" s="1">
        <v>0.36</v>
      </c>
      <c r="H15" s="1">
        <v>0.97</v>
      </c>
      <c r="J15" s="1" t="s">
        <v>10</v>
      </c>
      <c r="K15" s="1" t="s">
        <v>22</v>
      </c>
      <c r="L15" s="1" t="s">
        <v>17</v>
      </c>
    </row>
    <row r="16" spans="1:12" x14ac:dyDescent="0.2">
      <c r="A16" s="1" t="str">
        <f t="shared" si="0"/>
        <v>ap_prevalence_97</v>
      </c>
      <c r="B16" s="2" t="s">
        <v>12</v>
      </c>
      <c r="C16" s="1">
        <v>95</v>
      </c>
      <c r="D16" s="1">
        <f t="shared" si="1"/>
        <v>100</v>
      </c>
      <c r="E16" s="1">
        <f t="shared" si="2"/>
        <v>97</v>
      </c>
      <c r="F16" s="1">
        <v>0.71</v>
      </c>
      <c r="G16" s="1">
        <v>0.4</v>
      </c>
      <c r="H16" s="1">
        <v>0.99</v>
      </c>
      <c r="J16" s="1" t="s">
        <v>10</v>
      </c>
      <c r="K16" s="1" t="s">
        <v>22</v>
      </c>
      <c r="L16" s="1" t="s">
        <v>17</v>
      </c>
    </row>
    <row r="17" spans="1:12" x14ac:dyDescent="0.2">
      <c r="A17" s="1" t="str">
        <f t="shared" si="0"/>
        <v>ap_prevalence_102</v>
      </c>
      <c r="B17" s="2" t="s">
        <v>12</v>
      </c>
      <c r="C17" s="1">
        <v>100</v>
      </c>
      <c r="D17" s="1">
        <v>105</v>
      </c>
      <c r="E17" s="1">
        <f t="shared" si="2"/>
        <v>102</v>
      </c>
      <c r="F17" s="1">
        <v>0.74</v>
      </c>
      <c r="G17" s="1">
        <v>0.43999999999999995</v>
      </c>
      <c r="H17" s="1">
        <v>0.99</v>
      </c>
      <c r="J17" s="1" t="s">
        <v>10</v>
      </c>
      <c r="K17" s="1" t="s">
        <v>22</v>
      </c>
      <c r="L17" s="1" t="s">
        <v>17</v>
      </c>
    </row>
    <row r="18" spans="1:12" x14ac:dyDescent="0.2">
      <c r="A18" s="1" t="str">
        <f t="shared" si="0"/>
        <v>ap_prevalence_27</v>
      </c>
      <c r="B18" s="2" t="s">
        <v>12</v>
      </c>
      <c r="C18" s="1">
        <v>25</v>
      </c>
      <c r="D18" s="1">
        <f>C19</f>
        <v>30</v>
      </c>
      <c r="E18" s="1">
        <f t="shared" si="2"/>
        <v>27</v>
      </c>
      <c r="F18" s="1">
        <v>0.12</v>
      </c>
      <c r="G18" s="1">
        <v>0</v>
      </c>
      <c r="H18" s="1">
        <v>0.30000000000000004</v>
      </c>
      <c r="J18" s="1" t="s">
        <v>11</v>
      </c>
      <c r="K18" s="1" t="s">
        <v>22</v>
      </c>
      <c r="L18" s="1" t="s">
        <v>17</v>
      </c>
    </row>
    <row r="19" spans="1:12" x14ac:dyDescent="0.2">
      <c r="A19" s="1" t="str">
        <f t="shared" si="0"/>
        <v>ap_prevalence_32</v>
      </c>
      <c r="B19" s="2" t="s">
        <v>12</v>
      </c>
      <c r="C19" s="1">
        <v>30</v>
      </c>
      <c r="D19" s="1">
        <f t="shared" si="1"/>
        <v>35</v>
      </c>
      <c r="E19" s="1">
        <f t="shared" si="2"/>
        <v>32</v>
      </c>
      <c r="F19" s="1">
        <v>0.14000000000000001</v>
      </c>
      <c r="G19" s="1">
        <v>0</v>
      </c>
      <c r="H19" s="1">
        <v>0.36</v>
      </c>
      <c r="J19" s="1" t="s">
        <v>11</v>
      </c>
      <c r="K19" s="1" t="s">
        <v>22</v>
      </c>
      <c r="L19" s="1" t="s">
        <v>17</v>
      </c>
    </row>
    <row r="20" spans="1:12" x14ac:dyDescent="0.2">
      <c r="A20" s="1" t="str">
        <f t="shared" si="0"/>
        <v>ap_prevalence_37</v>
      </c>
      <c r="B20" s="2" t="s">
        <v>12</v>
      </c>
      <c r="C20" s="1">
        <v>35</v>
      </c>
      <c r="D20" s="1">
        <f t="shared" si="1"/>
        <v>40</v>
      </c>
      <c r="E20" s="1">
        <f t="shared" si="2"/>
        <v>37</v>
      </c>
      <c r="F20" s="1">
        <v>0.18000000000000005</v>
      </c>
      <c r="G20" s="1">
        <v>1.0000000000000009E-2</v>
      </c>
      <c r="H20" s="1">
        <v>0.4</v>
      </c>
      <c r="J20" s="1" t="s">
        <v>11</v>
      </c>
      <c r="K20" s="1" t="s">
        <v>22</v>
      </c>
      <c r="L20" s="1" t="s">
        <v>17</v>
      </c>
    </row>
    <row r="21" spans="1:12" x14ac:dyDescent="0.2">
      <c r="A21" s="1" t="str">
        <f t="shared" si="0"/>
        <v>ap_prevalence_42</v>
      </c>
      <c r="B21" s="2" t="s">
        <v>12</v>
      </c>
      <c r="C21" s="1">
        <v>40</v>
      </c>
      <c r="D21" s="1">
        <f t="shared" si="1"/>
        <v>45</v>
      </c>
      <c r="E21" s="1">
        <f t="shared" si="2"/>
        <v>42</v>
      </c>
      <c r="F21" s="1">
        <v>0.20999999999999996</v>
      </c>
      <c r="G21" s="1">
        <v>1.0000000000000009E-2</v>
      </c>
      <c r="H21" s="1">
        <v>0.45999999999999996</v>
      </c>
      <c r="J21" s="1" t="s">
        <v>11</v>
      </c>
      <c r="K21" s="1" t="s">
        <v>22</v>
      </c>
      <c r="L21" s="1" t="s">
        <v>17</v>
      </c>
    </row>
    <row r="22" spans="1:12" x14ac:dyDescent="0.2">
      <c r="A22" s="1" t="str">
        <f t="shared" si="0"/>
        <v>ap_prevalence_47</v>
      </c>
      <c r="B22" s="2" t="s">
        <v>12</v>
      </c>
      <c r="C22" s="1">
        <v>45</v>
      </c>
      <c r="D22" s="1">
        <f t="shared" si="1"/>
        <v>50</v>
      </c>
      <c r="E22" s="1">
        <f t="shared" si="2"/>
        <v>47</v>
      </c>
      <c r="F22" s="1">
        <v>0.24</v>
      </c>
      <c r="G22" s="1">
        <v>2.0000000000000018E-2</v>
      </c>
      <c r="H22" s="1">
        <v>0.51</v>
      </c>
      <c r="J22" s="1" t="s">
        <v>11</v>
      </c>
      <c r="K22" s="1" t="s">
        <v>22</v>
      </c>
      <c r="L22" s="1" t="s">
        <v>17</v>
      </c>
    </row>
    <row r="23" spans="1:12" x14ac:dyDescent="0.2">
      <c r="A23" s="1" t="str">
        <f t="shared" si="0"/>
        <v>ap_prevalence_52</v>
      </c>
      <c r="B23" s="2" t="s">
        <v>12</v>
      </c>
      <c r="C23" s="1">
        <v>50</v>
      </c>
      <c r="D23" s="1">
        <f t="shared" si="1"/>
        <v>55</v>
      </c>
      <c r="E23" s="1">
        <f t="shared" si="2"/>
        <v>52</v>
      </c>
      <c r="F23" s="1">
        <v>0.27</v>
      </c>
      <c r="G23" s="1">
        <v>3.0000000000000027E-2</v>
      </c>
      <c r="H23" s="1">
        <v>0.56000000000000005</v>
      </c>
      <c r="J23" s="1" t="s">
        <v>11</v>
      </c>
      <c r="K23" s="1" t="s">
        <v>22</v>
      </c>
      <c r="L23" s="1" t="s">
        <v>17</v>
      </c>
    </row>
    <row r="24" spans="1:12" x14ac:dyDescent="0.2">
      <c r="A24" s="1" t="str">
        <f t="shared" si="0"/>
        <v>ap_prevalence_57</v>
      </c>
      <c r="B24" s="2" t="s">
        <v>12</v>
      </c>
      <c r="C24" s="1">
        <v>55</v>
      </c>
      <c r="D24" s="1">
        <f t="shared" si="1"/>
        <v>60</v>
      </c>
      <c r="E24" s="1">
        <f t="shared" si="2"/>
        <v>57</v>
      </c>
      <c r="F24" s="1">
        <v>0.30000000000000004</v>
      </c>
      <c r="G24" s="1">
        <v>4.0000000000000036E-2</v>
      </c>
      <c r="H24" s="1">
        <v>0.61</v>
      </c>
      <c r="J24" s="1" t="s">
        <v>11</v>
      </c>
      <c r="K24" s="1" t="s">
        <v>22</v>
      </c>
      <c r="L24" s="1" t="s">
        <v>17</v>
      </c>
    </row>
    <row r="25" spans="1:12" x14ac:dyDescent="0.2">
      <c r="A25" s="1" t="str">
        <f t="shared" si="0"/>
        <v>ap_prevalence_62</v>
      </c>
      <c r="B25" s="2" t="s">
        <v>12</v>
      </c>
      <c r="C25" s="1">
        <v>60</v>
      </c>
      <c r="D25" s="1">
        <f t="shared" si="1"/>
        <v>65</v>
      </c>
      <c r="E25" s="1">
        <f t="shared" si="2"/>
        <v>62</v>
      </c>
      <c r="F25" s="1">
        <v>0.33999999999999997</v>
      </c>
      <c r="G25" s="1">
        <v>5.0000000000000044E-2</v>
      </c>
      <c r="H25" s="1">
        <v>0.65</v>
      </c>
      <c r="J25" s="1" t="s">
        <v>11</v>
      </c>
      <c r="K25" s="1" t="s">
        <v>22</v>
      </c>
      <c r="L25" s="1" t="s">
        <v>17</v>
      </c>
    </row>
    <row r="26" spans="1:12" x14ac:dyDescent="0.2">
      <c r="A26" s="1" t="str">
        <f t="shared" si="0"/>
        <v>ap_prevalence_67</v>
      </c>
      <c r="B26" s="2" t="s">
        <v>12</v>
      </c>
      <c r="C26" s="1">
        <v>65</v>
      </c>
      <c r="D26" s="1">
        <f t="shared" si="1"/>
        <v>70</v>
      </c>
      <c r="E26" s="1">
        <f t="shared" si="2"/>
        <v>67</v>
      </c>
      <c r="F26" s="1">
        <v>0.37</v>
      </c>
      <c r="G26" s="1">
        <v>6.9999999999999951E-2</v>
      </c>
      <c r="H26" s="1">
        <v>0.7</v>
      </c>
      <c r="J26" s="1" t="s">
        <v>11</v>
      </c>
      <c r="K26" s="1" t="s">
        <v>22</v>
      </c>
      <c r="L26" s="1" t="s">
        <v>17</v>
      </c>
    </row>
    <row r="27" spans="1:12" x14ac:dyDescent="0.2">
      <c r="A27" s="1" t="str">
        <f t="shared" si="0"/>
        <v>ap_prevalence_72</v>
      </c>
      <c r="B27" s="2" t="s">
        <v>12</v>
      </c>
      <c r="C27" s="1">
        <v>70</v>
      </c>
      <c r="D27" s="1">
        <f t="shared" si="1"/>
        <v>75</v>
      </c>
      <c r="E27" s="1">
        <f t="shared" si="2"/>
        <v>72</v>
      </c>
      <c r="F27" s="1">
        <v>0.41000000000000003</v>
      </c>
      <c r="G27" s="1">
        <v>8.9999999999999969E-2</v>
      </c>
      <c r="H27" s="1">
        <v>0.74</v>
      </c>
      <c r="J27" s="1" t="s">
        <v>11</v>
      </c>
      <c r="K27" s="1" t="s">
        <v>22</v>
      </c>
      <c r="L27" s="1" t="s">
        <v>17</v>
      </c>
    </row>
    <row r="28" spans="1:12" x14ac:dyDescent="0.2">
      <c r="A28" s="1" t="str">
        <f t="shared" si="0"/>
        <v>ap_prevalence_77</v>
      </c>
      <c r="B28" s="2" t="s">
        <v>12</v>
      </c>
      <c r="C28" s="1">
        <v>75</v>
      </c>
      <c r="D28" s="1">
        <f t="shared" si="1"/>
        <v>80</v>
      </c>
      <c r="E28" s="1">
        <f t="shared" si="2"/>
        <v>77</v>
      </c>
      <c r="F28" s="1">
        <v>0.44999999999999996</v>
      </c>
      <c r="G28" s="1">
        <v>0.12</v>
      </c>
      <c r="H28" s="1">
        <v>0.79</v>
      </c>
      <c r="J28" s="1" t="s">
        <v>11</v>
      </c>
      <c r="K28" s="1" t="s">
        <v>22</v>
      </c>
      <c r="L28" s="1" t="s">
        <v>17</v>
      </c>
    </row>
    <row r="29" spans="1:12" x14ac:dyDescent="0.2">
      <c r="A29" s="1" t="str">
        <f t="shared" si="0"/>
        <v>ap_prevalence_82</v>
      </c>
      <c r="B29" s="2" t="s">
        <v>12</v>
      </c>
      <c r="C29" s="1">
        <v>80</v>
      </c>
      <c r="D29" s="1">
        <f t="shared" si="1"/>
        <v>85</v>
      </c>
      <c r="E29" s="1">
        <f t="shared" si="2"/>
        <v>82</v>
      </c>
      <c r="F29" s="1">
        <v>0.48</v>
      </c>
      <c r="G29" s="1">
        <v>0.15000000000000002</v>
      </c>
      <c r="H29" s="1">
        <v>0.83</v>
      </c>
      <c r="J29" s="1" t="s">
        <v>11</v>
      </c>
      <c r="K29" s="1" t="s">
        <v>22</v>
      </c>
      <c r="L29" s="1" t="s">
        <v>17</v>
      </c>
    </row>
    <row r="30" spans="1:12" x14ac:dyDescent="0.2">
      <c r="A30" s="1" t="str">
        <f t="shared" si="0"/>
        <v>ap_prevalence_87</v>
      </c>
      <c r="B30" s="2" t="s">
        <v>12</v>
      </c>
      <c r="C30" s="1">
        <v>85</v>
      </c>
      <c r="D30" s="1">
        <f t="shared" si="1"/>
        <v>90</v>
      </c>
      <c r="E30" s="1">
        <f t="shared" si="2"/>
        <v>87</v>
      </c>
      <c r="F30" s="1">
        <v>0.52</v>
      </c>
      <c r="G30" s="1">
        <v>0.18000000000000005</v>
      </c>
      <c r="H30" s="1">
        <v>0.87</v>
      </c>
      <c r="J30" s="1" t="s">
        <v>11</v>
      </c>
      <c r="K30" s="1" t="s">
        <v>22</v>
      </c>
      <c r="L30" s="1" t="s">
        <v>17</v>
      </c>
    </row>
    <row r="31" spans="1:12" x14ac:dyDescent="0.2">
      <c r="A31" s="1" t="str">
        <f t="shared" si="0"/>
        <v>ap_prevalence_92</v>
      </c>
      <c r="B31" s="2" t="s">
        <v>12</v>
      </c>
      <c r="C31" s="1">
        <v>90</v>
      </c>
      <c r="D31" s="1">
        <f t="shared" si="1"/>
        <v>95</v>
      </c>
      <c r="E31" s="1">
        <f t="shared" si="2"/>
        <v>92</v>
      </c>
      <c r="F31" s="1">
        <v>0.56000000000000005</v>
      </c>
      <c r="G31" s="1">
        <v>0.21999999999999997</v>
      </c>
      <c r="H31" s="1">
        <v>0.9</v>
      </c>
      <c r="J31" s="1" t="s">
        <v>11</v>
      </c>
      <c r="K31" s="1" t="s">
        <v>22</v>
      </c>
      <c r="L31" s="1" t="s">
        <v>17</v>
      </c>
    </row>
    <row r="32" spans="1:12" x14ac:dyDescent="0.2">
      <c r="A32" s="1" t="str">
        <f t="shared" si="0"/>
        <v>ap_prevalence_97</v>
      </c>
      <c r="B32" s="2" t="s">
        <v>12</v>
      </c>
      <c r="C32" s="1">
        <v>95</v>
      </c>
      <c r="D32" s="1">
        <f t="shared" si="1"/>
        <v>100</v>
      </c>
      <c r="E32" s="1">
        <f t="shared" si="2"/>
        <v>97</v>
      </c>
      <c r="F32" s="1">
        <v>0.6</v>
      </c>
      <c r="G32" s="1">
        <v>0.26</v>
      </c>
      <c r="H32" s="1">
        <v>0.92999999999999994</v>
      </c>
      <c r="J32" s="1" t="s">
        <v>11</v>
      </c>
      <c r="K32" s="1" t="s">
        <v>22</v>
      </c>
      <c r="L32" s="1" t="s">
        <v>17</v>
      </c>
    </row>
    <row r="33" spans="1:12" x14ac:dyDescent="0.2">
      <c r="A33" s="1" t="str">
        <f t="shared" si="0"/>
        <v>ap_prevalence_102</v>
      </c>
      <c r="B33" s="2" t="s">
        <v>12</v>
      </c>
      <c r="C33" s="1">
        <v>100</v>
      </c>
      <c r="D33" s="1">
        <v>105</v>
      </c>
      <c r="E33" s="1">
        <f t="shared" si="2"/>
        <v>102</v>
      </c>
      <c r="F33" s="1">
        <v>0.63</v>
      </c>
      <c r="G33" s="1">
        <v>0.30000000000000004</v>
      </c>
      <c r="H33" s="1">
        <v>0.95</v>
      </c>
      <c r="J33" s="1" t="s">
        <v>11</v>
      </c>
      <c r="K33" s="1" t="s">
        <v>22</v>
      </c>
      <c r="L33" s="1" t="s">
        <v>17</v>
      </c>
    </row>
    <row r="34" spans="1:12" x14ac:dyDescent="0.2">
      <c r="A34" s="2" t="s">
        <v>24</v>
      </c>
      <c r="B34" s="2" t="s">
        <v>13</v>
      </c>
      <c r="C34" s="2">
        <v>50</v>
      </c>
      <c r="D34" s="2">
        <v>80</v>
      </c>
      <c r="E34" s="2">
        <v>1</v>
      </c>
      <c r="F34" s="2">
        <v>0.433</v>
      </c>
      <c r="G34" s="2">
        <v>0.38</v>
      </c>
      <c r="H34" s="2">
        <v>0.48599999999999999</v>
      </c>
      <c r="I34" s="2"/>
      <c r="J34" s="1" t="s">
        <v>15</v>
      </c>
      <c r="K34" s="1" t="s">
        <v>22</v>
      </c>
      <c r="L34" s="1" t="s">
        <v>18</v>
      </c>
    </row>
    <row r="35" spans="1:12" x14ac:dyDescent="0.2">
      <c r="A35" s="2" t="s">
        <v>25</v>
      </c>
      <c r="B35" s="2" t="s">
        <v>13</v>
      </c>
      <c r="C35" s="2">
        <v>50</v>
      </c>
      <c r="D35" s="2">
        <v>80</v>
      </c>
      <c r="E35" s="2">
        <v>2</v>
      </c>
      <c r="F35" s="2">
        <v>0.223</v>
      </c>
      <c r="G35" s="2">
        <v>0.183</v>
      </c>
      <c r="H35" s="2">
        <v>0.26400000000000001</v>
      </c>
      <c r="I35" s="2"/>
      <c r="J35" s="1" t="s">
        <v>15</v>
      </c>
      <c r="K35" s="1" t="s">
        <v>22</v>
      </c>
      <c r="L35" s="1" t="s">
        <v>18</v>
      </c>
    </row>
    <row r="36" spans="1:12" x14ac:dyDescent="0.2">
      <c r="A36" s="2" t="s">
        <v>26</v>
      </c>
      <c r="B36" s="2" t="s">
        <v>13</v>
      </c>
      <c r="C36" s="2">
        <v>50</v>
      </c>
      <c r="D36" s="2">
        <v>80</v>
      </c>
      <c r="E36" s="2" t="s">
        <v>30</v>
      </c>
      <c r="F36" s="2">
        <v>0.34</v>
      </c>
      <c r="G36" s="2">
        <v>0.28000000000000003</v>
      </c>
      <c r="H36" s="2">
        <v>0.4</v>
      </c>
      <c r="I36" s="2"/>
      <c r="J36" s="1" t="s">
        <v>15</v>
      </c>
      <c r="K36" s="1" t="s">
        <v>22</v>
      </c>
      <c r="L36" s="1" t="s">
        <v>18</v>
      </c>
    </row>
    <row r="37" spans="1:12" x14ac:dyDescent="0.2">
      <c r="A37" s="2" t="s">
        <v>27</v>
      </c>
      <c r="B37" s="2" t="s">
        <v>14</v>
      </c>
      <c r="C37" s="2">
        <v>50</v>
      </c>
      <c r="D37" s="2">
        <v>80</v>
      </c>
      <c r="E37" s="2" t="s">
        <v>31</v>
      </c>
      <c r="F37" s="2">
        <v>0.46500000000000002</v>
      </c>
      <c r="G37" s="2">
        <v>0.41399999999999998</v>
      </c>
      <c r="H37" s="2">
        <v>0.51600000000000001</v>
      </c>
      <c r="I37" s="2"/>
      <c r="J37" s="1" t="s">
        <v>15</v>
      </c>
      <c r="K37" s="1" t="s">
        <v>22</v>
      </c>
      <c r="L37" s="1" t="s">
        <v>18</v>
      </c>
    </row>
    <row r="38" spans="1:12" x14ac:dyDescent="0.2">
      <c r="A38" s="2" t="s">
        <v>28</v>
      </c>
      <c r="B38" s="2" t="s">
        <v>14</v>
      </c>
      <c r="C38" s="2">
        <v>50</v>
      </c>
      <c r="D38" s="2">
        <v>80</v>
      </c>
      <c r="E38" s="3" t="s">
        <v>33</v>
      </c>
      <c r="F38" s="2">
        <v>0.40100000000000002</v>
      </c>
      <c r="G38" s="2">
        <v>0.34</v>
      </c>
      <c r="H38" s="2">
        <v>0.46200000000000002</v>
      </c>
      <c r="I38" s="2"/>
      <c r="J38" s="1" t="s">
        <v>15</v>
      </c>
      <c r="K38" s="1" t="s">
        <v>22</v>
      </c>
      <c r="L38" s="1" t="s">
        <v>18</v>
      </c>
    </row>
    <row r="39" spans="1:12" x14ac:dyDescent="0.2">
      <c r="A39" s="2" t="s">
        <v>29</v>
      </c>
      <c r="B39" s="2" t="s">
        <v>14</v>
      </c>
      <c r="C39" s="2">
        <v>50</v>
      </c>
      <c r="D39" s="2">
        <v>80</v>
      </c>
      <c r="E39" s="2" t="s">
        <v>32</v>
      </c>
      <c r="F39" s="2">
        <v>0.13200000000000001</v>
      </c>
      <c r="G39" s="2">
        <v>0.104</v>
      </c>
      <c r="H39" s="2">
        <v>0.161</v>
      </c>
      <c r="I39" s="2"/>
      <c r="J39" s="1" t="s">
        <v>15</v>
      </c>
      <c r="K39" s="1" t="s">
        <v>22</v>
      </c>
      <c r="L39" s="1" t="s">
        <v>18</v>
      </c>
    </row>
    <row r="40" spans="1:12" x14ac:dyDescent="0.2">
      <c r="A40" s="2" t="str">
        <f>"preclin_prevalence_"&amp;E40</f>
        <v>preclin_prevalence_45</v>
      </c>
      <c r="B40" s="2" t="s">
        <v>12</v>
      </c>
      <c r="C40" s="2">
        <v>40</v>
      </c>
      <c r="D40" s="2">
        <v>50</v>
      </c>
      <c r="E40" s="2">
        <v>45</v>
      </c>
      <c r="F40" s="2">
        <f>3/I40</f>
        <v>5.4844606946983544E-3</v>
      </c>
      <c r="H40" s="2"/>
      <c r="I40">
        <v>547</v>
      </c>
      <c r="J40" s="1" t="s">
        <v>11</v>
      </c>
      <c r="K40" s="1" t="s">
        <v>23</v>
      </c>
      <c r="L40" s="1" t="s">
        <v>21</v>
      </c>
    </row>
    <row r="41" spans="1:12" x14ac:dyDescent="0.2">
      <c r="A41" s="2" t="str">
        <f t="shared" ref="A41:A44" si="3">"preclin_prevalence_"&amp;E41</f>
        <v>preclin_prevalence_55</v>
      </c>
      <c r="B41" s="2" t="s">
        <v>12</v>
      </c>
      <c r="C41" s="2">
        <v>50</v>
      </c>
      <c r="D41" s="2">
        <v>60</v>
      </c>
      <c r="E41" s="2">
        <v>55</v>
      </c>
      <c r="F41" s="2">
        <f>5/I41</f>
        <v>6.7024128686327079E-3</v>
      </c>
      <c r="H41" s="2"/>
      <c r="I41">
        <v>746</v>
      </c>
      <c r="J41" s="1" t="s">
        <v>11</v>
      </c>
      <c r="K41" s="1" t="s">
        <v>23</v>
      </c>
      <c r="L41" s="1" t="s">
        <v>21</v>
      </c>
    </row>
    <row r="42" spans="1:12" x14ac:dyDescent="0.2">
      <c r="A42" s="2" t="str">
        <f t="shared" si="3"/>
        <v>preclin_prevalence_65</v>
      </c>
      <c r="B42" s="2" t="s">
        <v>12</v>
      </c>
      <c r="C42" s="2">
        <v>60</v>
      </c>
      <c r="D42" s="2">
        <v>70</v>
      </c>
      <c r="E42" s="2">
        <v>65</v>
      </c>
      <c r="F42" s="2">
        <f>17/I42</f>
        <v>1.5682656826568265E-2</v>
      </c>
      <c r="H42" s="2"/>
      <c r="I42">
        <v>1084</v>
      </c>
      <c r="J42" s="1" t="s">
        <v>11</v>
      </c>
      <c r="K42" s="1" t="s">
        <v>23</v>
      </c>
      <c r="L42" s="1" t="s">
        <v>21</v>
      </c>
    </row>
    <row r="43" spans="1:12" x14ac:dyDescent="0.2">
      <c r="A43" s="2" t="str">
        <f t="shared" si="3"/>
        <v>preclin_prevalence_75</v>
      </c>
      <c r="B43" s="2" t="s">
        <v>12</v>
      </c>
      <c r="C43" s="2">
        <v>70</v>
      </c>
      <c r="D43" s="2">
        <v>80</v>
      </c>
      <c r="E43" s="2">
        <v>75</v>
      </c>
      <c r="F43" s="2">
        <f>26/I43</f>
        <v>1.8207282913165267E-2</v>
      </c>
      <c r="H43" s="2"/>
      <c r="I43">
        <v>1428</v>
      </c>
      <c r="J43" s="1" t="s">
        <v>11</v>
      </c>
      <c r="K43" s="1" t="s">
        <v>23</v>
      </c>
      <c r="L43" s="1" t="s">
        <v>21</v>
      </c>
    </row>
    <row r="44" spans="1:12" x14ac:dyDescent="0.2">
      <c r="A44" s="2" t="str">
        <f t="shared" si="3"/>
        <v>preclin_prevalence_85</v>
      </c>
      <c r="B44" s="2" t="s">
        <v>12</v>
      </c>
      <c r="C44" s="2">
        <v>80</v>
      </c>
      <c r="D44" s="2">
        <v>90</v>
      </c>
      <c r="E44" s="2">
        <v>85</v>
      </c>
      <c r="F44" s="2">
        <f>23/I44</f>
        <v>2.5930101465614429E-2</v>
      </c>
      <c r="H44" s="2"/>
      <c r="I44">
        <v>887</v>
      </c>
      <c r="J44" s="1" t="s">
        <v>11</v>
      </c>
      <c r="K44" s="1" t="s">
        <v>23</v>
      </c>
      <c r="L44" s="1" t="s">
        <v>21</v>
      </c>
    </row>
    <row r="45" spans="1:12" x14ac:dyDescent="0.2">
      <c r="A45" s="2" t="str">
        <f>"preclin_prevalence_"&amp;E45</f>
        <v>preclin_prevalence_45</v>
      </c>
      <c r="B45" s="2" t="s">
        <v>12</v>
      </c>
      <c r="C45" s="2">
        <v>40</v>
      </c>
      <c r="D45" s="2">
        <v>50</v>
      </c>
      <c r="E45" s="2">
        <v>45</v>
      </c>
      <c r="F45" s="1">
        <f>0/I45</f>
        <v>0</v>
      </c>
      <c r="I45">
        <v>717</v>
      </c>
      <c r="J45" s="1" t="s">
        <v>10</v>
      </c>
      <c r="K45" s="1" t="s">
        <v>23</v>
      </c>
      <c r="L45" s="1" t="s">
        <v>21</v>
      </c>
    </row>
    <row r="46" spans="1:12" x14ac:dyDescent="0.2">
      <c r="A46" s="2" t="str">
        <f t="shared" ref="A46:A49" si="4">"preclin_prevalence_"&amp;E46</f>
        <v>preclin_prevalence_55</v>
      </c>
      <c r="B46" s="2" t="s">
        <v>12</v>
      </c>
      <c r="C46" s="2">
        <v>50</v>
      </c>
      <c r="D46" s="2">
        <v>60</v>
      </c>
      <c r="E46" s="2">
        <v>55</v>
      </c>
      <c r="F46" s="1">
        <f>6/I46</f>
        <v>5.0335570469798654E-3</v>
      </c>
      <c r="I46">
        <v>1192</v>
      </c>
      <c r="J46" s="1" t="s">
        <v>10</v>
      </c>
      <c r="K46" s="1" t="s">
        <v>23</v>
      </c>
      <c r="L46" s="1" t="s">
        <v>21</v>
      </c>
    </row>
    <row r="47" spans="1:12" x14ac:dyDescent="0.2">
      <c r="A47" s="2" t="str">
        <f t="shared" si="4"/>
        <v>preclin_prevalence_65</v>
      </c>
      <c r="B47" s="2" t="s">
        <v>12</v>
      </c>
      <c r="C47" s="2">
        <v>60</v>
      </c>
      <c r="D47" s="2">
        <v>70</v>
      </c>
      <c r="E47" s="2">
        <v>65</v>
      </c>
      <c r="F47" s="1">
        <f>9/I47</f>
        <v>5.642633228840125E-3</v>
      </c>
      <c r="I47">
        <v>1595</v>
      </c>
      <c r="J47" s="1" t="s">
        <v>10</v>
      </c>
      <c r="K47" s="1" t="s">
        <v>23</v>
      </c>
      <c r="L47" s="1" t="s">
        <v>21</v>
      </c>
    </row>
    <row r="48" spans="1:12" x14ac:dyDescent="0.2">
      <c r="A48" s="2" t="str">
        <f t="shared" si="4"/>
        <v>preclin_prevalence_75</v>
      </c>
      <c r="B48" s="2" t="s">
        <v>12</v>
      </c>
      <c r="C48" s="2">
        <v>70</v>
      </c>
      <c r="D48" s="2">
        <v>80</v>
      </c>
      <c r="E48" s="2">
        <v>75</v>
      </c>
      <c r="F48" s="1">
        <f>35/I48</f>
        <v>1.7957927142124165E-2</v>
      </c>
      <c r="I48">
        <v>1949</v>
      </c>
      <c r="J48" s="1" t="s">
        <v>10</v>
      </c>
      <c r="K48" s="1" t="s">
        <v>23</v>
      </c>
      <c r="L48" s="1" t="s">
        <v>21</v>
      </c>
    </row>
    <row r="49" spans="1:12" x14ac:dyDescent="0.2">
      <c r="A49" s="2" t="str">
        <f t="shared" si="4"/>
        <v>preclin_prevalence_85</v>
      </c>
      <c r="B49" s="2" t="s">
        <v>12</v>
      </c>
      <c r="C49" s="2">
        <v>80</v>
      </c>
      <c r="D49" s="2">
        <v>90</v>
      </c>
      <c r="E49" s="2">
        <v>85</v>
      </c>
      <c r="F49" s="1">
        <f>17/I49</f>
        <v>1.7726798748696558E-2</v>
      </c>
      <c r="I49">
        <v>959</v>
      </c>
      <c r="J49" s="1" t="s">
        <v>10</v>
      </c>
      <c r="K49" s="1" t="s">
        <v>23</v>
      </c>
      <c r="L49" s="1" t="s">
        <v>21</v>
      </c>
    </row>
    <row r="50" spans="1:12" x14ac:dyDescent="0.2">
      <c r="A50" s="1" t="s">
        <v>34</v>
      </c>
      <c r="B50" s="1" t="s">
        <v>19</v>
      </c>
      <c r="C50" s="1">
        <v>20</v>
      </c>
      <c r="D50" s="1">
        <v>25</v>
      </c>
      <c r="E50" s="1">
        <f t="shared" ref="E50:E63" si="5">FLOOR(AVERAGE(C50,D50), 1)</f>
        <v>22</v>
      </c>
      <c r="F50" s="1">
        <v>2.4187400106037558E-2</v>
      </c>
      <c r="I50" s="1">
        <v>4823448</v>
      </c>
      <c r="J50" s="1" t="s">
        <v>10</v>
      </c>
      <c r="K50" s="1" t="s">
        <v>23</v>
      </c>
      <c r="L50" s="1" t="s">
        <v>48</v>
      </c>
    </row>
    <row r="51" spans="1:12" x14ac:dyDescent="0.2">
      <c r="A51" s="1" t="s">
        <v>35</v>
      </c>
      <c r="B51" s="1" t="s">
        <v>19</v>
      </c>
      <c r="C51" s="1">
        <v>25</v>
      </c>
      <c r="D51" s="1">
        <f t="shared" ref="D51:D62" si="6">C52</f>
        <v>30</v>
      </c>
      <c r="E51" s="1">
        <f t="shared" si="5"/>
        <v>27</v>
      </c>
      <c r="F51" s="1">
        <v>0.21511946171929386</v>
      </c>
      <c r="I51" s="1">
        <v>4557117</v>
      </c>
      <c r="J51" s="1" t="s">
        <v>10</v>
      </c>
      <c r="K51" s="1" t="s">
        <v>23</v>
      </c>
      <c r="L51" s="1" t="s">
        <v>48</v>
      </c>
    </row>
    <row r="52" spans="1:12" x14ac:dyDescent="0.2">
      <c r="A52" s="1" t="s">
        <v>36</v>
      </c>
      <c r="B52" s="1" t="s">
        <v>19</v>
      </c>
      <c r="C52" s="1">
        <v>30</v>
      </c>
      <c r="D52" s="1">
        <f t="shared" si="6"/>
        <v>35</v>
      </c>
      <c r="E52" s="1">
        <f t="shared" si="5"/>
        <v>32</v>
      </c>
      <c r="F52" s="1">
        <v>0.22412870091005177</v>
      </c>
      <c r="I52" s="1">
        <v>3854083</v>
      </c>
      <c r="J52" s="1" t="s">
        <v>10</v>
      </c>
      <c r="K52" s="1" t="s">
        <v>23</v>
      </c>
      <c r="L52" s="1" t="s">
        <v>48</v>
      </c>
    </row>
    <row r="53" spans="1:12" x14ac:dyDescent="0.2">
      <c r="A53" s="1" t="s">
        <v>37</v>
      </c>
      <c r="B53" s="1" t="s">
        <v>19</v>
      </c>
      <c r="C53" s="1">
        <v>35</v>
      </c>
      <c r="D53" s="1">
        <f t="shared" si="6"/>
        <v>40</v>
      </c>
      <c r="E53" s="1">
        <f t="shared" si="5"/>
        <v>37</v>
      </c>
      <c r="F53" s="1">
        <v>1.1909308884655649</v>
      </c>
      <c r="I53" s="1">
        <v>3031712</v>
      </c>
      <c r="J53" s="1" t="s">
        <v>10</v>
      </c>
      <c r="K53" s="1" t="s">
        <v>23</v>
      </c>
      <c r="L53" s="1" t="s">
        <v>48</v>
      </c>
    </row>
    <row r="54" spans="1:12" x14ac:dyDescent="0.2">
      <c r="A54" s="1" t="s">
        <v>38</v>
      </c>
      <c r="B54" s="1" t="s">
        <v>19</v>
      </c>
      <c r="C54" s="1">
        <v>40</v>
      </c>
      <c r="D54" s="1">
        <f t="shared" si="6"/>
        <v>45</v>
      </c>
      <c r="E54" s="1">
        <f t="shared" si="5"/>
        <v>42</v>
      </c>
      <c r="F54" s="1">
        <v>2.557597298827035</v>
      </c>
      <c r="I54" s="1">
        <v>2655844</v>
      </c>
      <c r="J54" s="1" t="s">
        <v>10</v>
      </c>
      <c r="K54" s="1" t="s">
        <v>23</v>
      </c>
      <c r="L54" s="1" t="s">
        <v>48</v>
      </c>
    </row>
    <row r="55" spans="1:12" x14ac:dyDescent="0.2">
      <c r="A55" s="1" t="s">
        <v>39</v>
      </c>
      <c r="B55" s="1" t="s">
        <v>19</v>
      </c>
      <c r="C55" s="1">
        <v>45</v>
      </c>
      <c r="D55" s="1">
        <f t="shared" si="6"/>
        <v>50</v>
      </c>
      <c r="E55" s="1">
        <f t="shared" si="5"/>
        <v>47</v>
      </c>
      <c r="F55" s="1">
        <v>5.5906133975644838</v>
      </c>
      <c r="I55" s="1">
        <v>2688338</v>
      </c>
      <c r="J55" s="1" t="s">
        <v>10</v>
      </c>
      <c r="K55" s="1" t="s">
        <v>23</v>
      </c>
      <c r="L55" s="1" t="s">
        <v>48</v>
      </c>
    </row>
    <row r="56" spans="1:12" x14ac:dyDescent="0.2">
      <c r="A56" s="1" t="s">
        <v>40</v>
      </c>
      <c r="B56" s="1" t="s">
        <v>19</v>
      </c>
      <c r="C56" s="1">
        <v>50</v>
      </c>
      <c r="D56" s="1">
        <f t="shared" si="6"/>
        <v>55</v>
      </c>
      <c r="E56" s="1">
        <f t="shared" si="5"/>
        <v>52</v>
      </c>
      <c r="F56" s="1">
        <v>10.943854897223204</v>
      </c>
      <c r="I56" s="1">
        <v>2757647</v>
      </c>
      <c r="J56" s="1" t="s">
        <v>10</v>
      </c>
      <c r="K56" s="1" t="s">
        <v>23</v>
      </c>
      <c r="L56" s="1" t="s">
        <v>48</v>
      </c>
    </row>
    <row r="57" spans="1:12" x14ac:dyDescent="0.2">
      <c r="A57" s="1" t="s">
        <v>41</v>
      </c>
      <c r="B57" s="1" t="s">
        <v>19</v>
      </c>
      <c r="C57" s="1">
        <v>55</v>
      </c>
      <c r="D57" s="1">
        <f t="shared" si="6"/>
        <v>60</v>
      </c>
      <c r="E57" s="1">
        <f t="shared" si="5"/>
        <v>57</v>
      </c>
      <c r="F57" s="1">
        <v>19.636104506544324</v>
      </c>
      <c r="I57" s="1">
        <v>2517854</v>
      </c>
      <c r="J57" s="1" t="s">
        <v>10</v>
      </c>
      <c r="K57" s="1" t="s">
        <v>23</v>
      </c>
      <c r="L57" s="1" t="s">
        <v>48</v>
      </c>
    </row>
    <row r="58" spans="1:12" x14ac:dyDescent="0.2">
      <c r="A58" s="1" t="s">
        <v>42</v>
      </c>
      <c r="B58" s="1" t="s">
        <v>19</v>
      </c>
      <c r="C58" s="1">
        <v>60</v>
      </c>
      <c r="D58" s="1">
        <f t="shared" si="6"/>
        <v>65</v>
      </c>
      <c r="E58" s="1">
        <f t="shared" si="5"/>
        <v>62</v>
      </c>
      <c r="F58" s="1">
        <v>32.39110582838731</v>
      </c>
      <c r="I58" s="1">
        <v>2078337</v>
      </c>
      <c r="J58" s="1" t="s">
        <v>10</v>
      </c>
      <c r="K58" s="1" t="s">
        <v>23</v>
      </c>
      <c r="L58" s="1" t="s">
        <v>48</v>
      </c>
    </row>
    <row r="59" spans="1:12" x14ac:dyDescent="0.2">
      <c r="A59" s="1" t="s">
        <v>43</v>
      </c>
      <c r="B59" s="1" t="s">
        <v>19</v>
      </c>
      <c r="C59" s="1">
        <v>65</v>
      </c>
      <c r="D59" s="1">
        <f t="shared" si="6"/>
        <v>70</v>
      </c>
      <c r="E59" s="1">
        <f t="shared" si="5"/>
        <v>67</v>
      </c>
      <c r="F59" s="1">
        <v>46.576095875144745</v>
      </c>
      <c r="I59" s="1">
        <v>1595444</v>
      </c>
      <c r="J59" s="1" t="s">
        <v>10</v>
      </c>
      <c r="K59" s="1" t="s">
        <v>23</v>
      </c>
      <c r="L59" s="1" t="s">
        <v>48</v>
      </c>
    </row>
    <row r="60" spans="1:12" x14ac:dyDescent="0.2">
      <c r="A60" s="1" t="s">
        <v>44</v>
      </c>
      <c r="B60" s="1" t="s">
        <v>19</v>
      </c>
      <c r="C60" s="1">
        <v>70</v>
      </c>
      <c r="D60" s="1">
        <f t="shared" si="6"/>
        <v>75</v>
      </c>
      <c r="E60" s="1">
        <f t="shared" si="5"/>
        <v>72</v>
      </c>
      <c r="F60" s="1">
        <v>66.087954647647223</v>
      </c>
      <c r="I60" s="1">
        <v>1134899</v>
      </c>
      <c r="J60" s="1" t="s">
        <v>10</v>
      </c>
      <c r="K60" s="1" t="s">
        <v>23</v>
      </c>
      <c r="L60" s="1" t="s">
        <v>48</v>
      </c>
    </row>
    <row r="61" spans="1:12" x14ac:dyDescent="0.2">
      <c r="A61" s="1" t="s">
        <v>45</v>
      </c>
      <c r="B61" s="1" t="s">
        <v>19</v>
      </c>
      <c r="C61" s="1">
        <v>75</v>
      </c>
      <c r="D61" s="1">
        <f t="shared" si="6"/>
        <v>80</v>
      </c>
      <c r="E61" s="1">
        <f t="shared" si="5"/>
        <v>77</v>
      </c>
      <c r="F61" s="1">
        <v>73.863021930780832</v>
      </c>
      <c r="I61" s="1">
        <v>736030</v>
      </c>
      <c r="J61" s="1" t="s">
        <v>10</v>
      </c>
      <c r="K61" s="1" t="s">
        <v>23</v>
      </c>
      <c r="L61" s="1" t="s">
        <v>48</v>
      </c>
    </row>
    <row r="62" spans="1:12" x14ac:dyDescent="0.2">
      <c r="A62" s="1" t="s">
        <v>46</v>
      </c>
      <c r="B62" s="1" t="s">
        <v>19</v>
      </c>
      <c r="C62" s="1">
        <v>80</v>
      </c>
      <c r="D62" s="1">
        <f t="shared" si="6"/>
        <v>85</v>
      </c>
      <c r="E62" s="1">
        <f t="shared" si="5"/>
        <v>82</v>
      </c>
      <c r="F62" s="1">
        <v>87.289115075452585</v>
      </c>
      <c r="I62" s="1">
        <v>440318</v>
      </c>
      <c r="J62" s="1" t="s">
        <v>10</v>
      </c>
      <c r="K62" s="1" t="s">
        <v>23</v>
      </c>
      <c r="L62" s="1" t="s">
        <v>48</v>
      </c>
    </row>
    <row r="63" spans="1:12" x14ac:dyDescent="0.2">
      <c r="A63" s="1" t="s">
        <v>47</v>
      </c>
      <c r="B63" s="1" t="s">
        <v>19</v>
      </c>
      <c r="C63" s="1">
        <v>85</v>
      </c>
      <c r="D63" s="1">
        <v>90</v>
      </c>
      <c r="E63" s="1">
        <f t="shared" si="5"/>
        <v>87</v>
      </c>
      <c r="F63" s="1">
        <v>92.70444139779498</v>
      </c>
      <c r="I63" s="1">
        <v>288662</v>
      </c>
      <c r="J63" s="1" t="s">
        <v>10</v>
      </c>
      <c r="K63" s="1" t="s">
        <v>23</v>
      </c>
      <c r="L63" s="1" t="s">
        <v>48</v>
      </c>
    </row>
    <row r="64" spans="1:12" x14ac:dyDescent="0.2">
      <c r="A64" s="1" t="s">
        <v>49</v>
      </c>
      <c r="B64" s="1" t="s">
        <v>19</v>
      </c>
      <c r="C64" s="1">
        <v>20</v>
      </c>
      <c r="D64" s="1">
        <v>25</v>
      </c>
      <c r="E64" s="1">
        <f t="shared" ref="E64:E77" si="7">FLOOR(AVERAGE(C64,D64), 1)</f>
        <v>22</v>
      </c>
      <c r="F64" s="1">
        <v>4.7387559391420524E-2</v>
      </c>
      <c r="I64" s="1">
        <v>4823448</v>
      </c>
      <c r="J64" s="1" t="s">
        <v>10</v>
      </c>
      <c r="K64" s="1" t="s">
        <v>23</v>
      </c>
      <c r="L64" s="1" t="s">
        <v>48</v>
      </c>
    </row>
    <row r="65" spans="1:12" x14ac:dyDescent="0.2">
      <c r="A65" s="1" t="s">
        <v>50</v>
      </c>
      <c r="B65" s="1" t="s">
        <v>19</v>
      </c>
      <c r="C65" s="1">
        <v>25</v>
      </c>
      <c r="D65" s="1">
        <f t="shared" ref="D65:D76" si="8">C66</f>
        <v>30</v>
      </c>
      <c r="E65" s="1">
        <f t="shared" si="7"/>
        <v>27</v>
      </c>
      <c r="F65" s="1">
        <v>0.32218938988542611</v>
      </c>
      <c r="I65" s="1">
        <v>4557117</v>
      </c>
      <c r="J65" s="1" t="s">
        <v>10</v>
      </c>
      <c r="K65" s="1" t="s">
        <v>23</v>
      </c>
      <c r="L65" s="1" t="s">
        <v>48</v>
      </c>
    </row>
    <row r="66" spans="1:12" x14ac:dyDescent="0.2">
      <c r="A66" s="1" t="s">
        <v>51</v>
      </c>
      <c r="B66" s="1" t="s">
        <v>19</v>
      </c>
      <c r="C66" s="1">
        <v>30</v>
      </c>
      <c r="D66" s="1">
        <f t="shared" si="8"/>
        <v>35</v>
      </c>
      <c r="E66" s="1">
        <f t="shared" si="7"/>
        <v>32</v>
      </c>
      <c r="F66" s="1">
        <v>0.96058204142483317</v>
      </c>
      <c r="I66" s="1">
        <v>3854083</v>
      </c>
      <c r="J66" s="1" t="s">
        <v>10</v>
      </c>
      <c r="K66" s="1" t="s">
        <v>23</v>
      </c>
      <c r="L66" s="1" t="s">
        <v>48</v>
      </c>
    </row>
    <row r="67" spans="1:12" x14ac:dyDescent="0.2">
      <c r="A67" s="1" t="s">
        <v>52</v>
      </c>
      <c r="B67" s="1" t="s">
        <v>19</v>
      </c>
      <c r="C67" s="1">
        <v>35</v>
      </c>
      <c r="D67" s="1">
        <f t="shared" si="8"/>
        <v>40</v>
      </c>
      <c r="E67" s="1">
        <f t="shared" si="7"/>
        <v>37</v>
      </c>
      <c r="F67" s="1">
        <v>1.6014009211735019</v>
      </c>
      <c r="I67" s="1">
        <v>3031712</v>
      </c>
      <c r="J67" s="1" t="s">
        <v>10</v>
      </c>
      <c r="K67" s="1" t="s">
        <v>23</v>
      </c>
      <c r="L67" s="1" t="s">
        <v>48</v>
      </c>
    </row>
    <row r="68" spans="1:12" x14ac:dyDescent="0.2">
      <c r="A68" s="1" t="s">
        <v>53</v>
      </c>
      <c r="B68" s="1" t="s">
        <v>19</v>
      </c>
      <c r="C68" s="1">
        <v>40</v>
      </c>
      <c r="D68" s="1">
        <f t="shared" si="8"/>
        <v>45</v>
      </c>
      <c r="E68" s="1">
        <f t="shared" si="7"/>
        <v>42</v>
      </c>
      <c r="F68" s="1">
        <v>3.9869962542615869</v>
      </c>
      <c r="I68" s="1">
        <v>2655844</v>
      </c>
      <c r="J68" s="1" t="s">
        <v>10</v>
      </c>
      <c r="K68" s="1" t="s">
        <v>23</v>
      </c>
      <c r="L68" s="1" t="s">
        <v>48</v>
      </c>
    </row>
    <row r="69" spans="1:12" x14ac:dyDescent="0.2">
      <c r="A69" s="1" t="s">
        <v>54</v>
      </c>
      <c r="B69" s="1" t="s">
        <v>19</v>
      </c>
      <c r="C69" s="1">
        <v>45</v>
      </c>
      <c r="D69" s="1">
        <f t="shared" si="8"/>
        <v>50</v>
      </c>
      <c r="E69" s="1">
        <f t="shared" si="7"/>
        <v>47</v>
      </c>
      <c r="F69" s="1">
        <v>8.5313601089053588</v>
      </c>
      <c r="I69" s="1">
        <v>2688338</v>
      </c>
      <c r="J69" s="1" t="s">
        <v>10</v>
      </c>
      <c r="K69" s="1" t="s">
        <v>23</v>
      </c>
      <c r="L69" s="1" t="s">
        <v>48</v>
      </c>
    </row>
    <row r="70" spans="1:12" x14ac:dyDescent="0.2">
      <c r="A70" s="1" t="s">
        <v>55</v>
      </c>
      <c r="B70" s="1" t="s">
        <v>19</v>
      </c>
      <c r="C70" s="1">
        <v>50</v>
      </c>
      <c r="D70" s="1">
        <f t="shared" si="8"/>
        <v>55</v>
      </c>
      <c r="E70" s="1">
        <f t="shared" si="7"/>
        <v>52</v>
      </c>
      <c r="F70" s="1">
        <v>14.675020330363289</v>
      </c>
      <c r="I70" s="1">
        <v>2757647</v>
      </c>
      <c r="J70" s="1" t="s">
        <v>10</v>
      </c>
      <c r="K70" s="1" t="s">
        <v>23</v>
      </c>
      <c r="L70" s="1" t="s">
        <v>48</v>
      </c>
    </row>
    <row r="71" spans="1:12" x14ac:dyDescent="0.2">
      <c r="A71" s="1" t="s">
        <v>56</v>
      </c>
      <c r="B71" s="1" t="s">
        <v>19</v>
      </c>
      <c r="C71" s="1">
        <v>55</v>
      </c>
      <c r="D71" s="1">
        <f t="shared" si="8"/>
        <v>60</v>
      </c>
      <c r="E71" s="1">
        <f t="shared" si="7"/>
        <v>57</v>
      </c>
      <c r="F71" s="1">
        <v>28.564513943147631</v>
      </c>
      <c r="I71" s="1">
        <v>2517854</v>
      </c>
      <c r="J71" s="1" t="s">
        <v>10</v>
      </c>
      <c r="K71" s="1" t="s">
        <v>23</v>
      </c>
      <c r="L71" s="1" t="s">
        <v>48</v>
      </c>
    </row>
    <row r="72" spans="1:12" x14ac:dyDescent="0.2">
      <c r="A72" s="1" t="s">
        <v>57</v>
      </c>
      <c r="B72" s="1" t="s">
        <v>19</v>
      </c>
      <c r="C72" s="1">
        <v>60</v>
      </c>
      <c r="D72" s="1">
        <f t="shared" si="8"/>
        <v>65</v>
      </c>
      <c r="E72" s="1">
        <f t="shared" si="7"/>
        <v>62</v>
      </c>
      <c r="F72" s="1">
        <v>50.467126229539986</v>
      </c>
      <c r="I72" s="1">
        <v>2078337</v>
      </c>
      <c r="J72" s="1" t="s">
        <v>10</v>
      </c>
      <c r="K72" s="1" t="s">
        <v>23</v>
      </c>
      <c r="L72" s="1" t="s">
        <v>48</v>
      </c>
    </row>
    <row r="73" spans="1:12" x14ac:dyDescent="0.2">
      <c r="A73" s="1" t="s">
        <v>58</v>
      </c>
      <c r="B73" s="1" t="s">
        <v>19</v>
      </c>
      <c r="C73" s="1">
        <v>65</v>
      </c>
      <c r="D73" s="1">
        <f t="shared" si="8"/>
        <v>70</v>
      </c>
      <c r="E73" s="1">
        <f t="shared" si="7"/>
        <v>67</v>
      </c>
      <c r="F73" s="1">
        <v>73.378321971878762</v>
      </c>
      <c r="I73" s="1">
        <v>1595444</v>
      </c>
      <c r="J73" s="1" t="s">
        <v>10</v>
      </c>
      <c r="K73" s="1" t="s">
        <v>23</v>
      </c>
      <c r="L73" s="1" t="s">
        <v>48</v>
      </c>
    </row>
    <row r="74" spans="1:12" x14ac:dyDescent="0.2">
      <c r="A74" s="1" t="s">
        <v>59</v>
      </c>
      <c r="B74" s="1" t="s">
        <v>19</v>
      </c>
      <c r="C74" s="1">
        <v>70</v>
      </c>
      <c r="D74" s="1">
        <f t="shared" si="8"/>
        <v>75</v>
      </c>
      <c r="E74" s="1">
        <f t="shared" si="7"/>
        <v>72</v>
      </c>
      <c r="F74" s="1">
        <v>115.36864150630996</v>
      </c>
      <c r="I74" s="1">
        <v>1134899</v>
      </c>
      <c r="J74" s="1" t="s">
        <v>10</v>
      </c>
      <c r="K74" s="1" t="s">
        <v>23</v>
      </c>
      <c r="L74" s="1" t="s">
        <v>48</v>
      </c>
    </row>
    <row r="75" spans="1:12" x14ac:dyDescent="0.2">
      <c r="A75" s="1" t="s">
        <v>60</v>
      </c>
      <c r="B75" s="1" t="s">
        <v>19</v>
      </c>
      <c r="C75" s="1">
        <v>75</v>
      </c>
      <c r="D75" s="1">
        <f t="shared" si="8"/>
        <v>80</v>
      </c>
      <c r="E75" s="1">
        <f t="shared" si="7"/>
        <v>77</v>
      </c>
      <c r="F75" s="1">
        <v>148.09200996001329</v>
      </c>
      <c r="I75" s="1">
        <v>736030</v>
      </c>
      <c r="J75" s="1" t="s">
        <v>10</v>
      </c>
      <c r="K75" s="1" t="s">
        <v>23</v>
      </c>
      <c r="L75" s="1" t="s">
        <v>48</v>
      </c>
    </row>
    <row r="76" spans="1:12" x14ac:dyDescent="0.2">
      <c r="A76" s="1" t="s">
        <v>61</v>
      </c>
      <c r="B76" s="1" t="s">
        <v>19</v>
      </c>
      <c r="C76" s="1">
        <v>80</v>
      </c>
      <c r="D76" s="1">
        <f t="shared" si="8"/>
        <v>85</v>
      </c>
      <c r="E76" s="1">
        <f t="shared" si="7"/>
        <v>82</v>
      </c>
      <c r="F76" s="1">
        <v>186.92591560282682</v>
      </c>
      <c r="I76" s="1">
        <v>440318</v>
      </c>
      <c r="J76" s="1" t="s">
        <v>10</v>
      </c>
      <c r="K76" s="1" t="s">
        <v>23</v>
      </c>
      <c r="L76" s="1" t="s">
        <v>48</v>
      </c>
    </row>
    <row r="77" spans="1:12" x14ac:dyDescent="0.2">
      <c r="A77" s="1" t="s">
        <v>62</v>
      </c>
      <c r="B77" s="1" t="s">
        <v>19</v>
      </c>
      <c r="C77" s="1">
        <v>85</v>
      </c>
      <c r="D77" s="1">
        <v>90</v>
      </c>
      <c r="E77" s="1">
        <f t="shared" si="7"/>
        <v>87</v>
      </c>
      <c r="F77" s="1">
        <v>209.37130277250867</v>
      </c>
      <c r="I77" s="1">
        <v>288662</v>
      </c>
      <c r="J77" s="1" t="s">
        <v>10</v>
      </c>
      <c r="K77" s="1" t="s">
        <v>23</v>
      </c>
      <c r="L77" s="1" t="s">
        <v>48</v>
      </c>
    </row>
    <row r="78" spans="1:12" x14ac:dyDescent="0.2">
      <c r="A78" s="1" t="s">
        <v>63</v>
      </c>
      <c r="B78" s="1" t="s">
        <v>19</v>
      </c>
      <c r="C78" s="1">
        <v>20</v>
      </c>
      <c r="D78" s="1">
        <v>25</v>
      </c>
      <c r="E78" s="1">
        <v>22</v>
      </c>
      <c r="F78" s="1">
        <v>0.18560127428306372</v>
      </c>
      <c r="I78" s="1">
        <v>4823448</v>
      </c>
      <c r="J78" s="1" t="s">
        <v>10</v>
      </c>
      <c r="K78" s="1" t="s">
        <v>23</v>
      </c>
      <c r="L78" s="1" t="s">
        <v>48</v>
      </c>
    </row>
    <row r="79" spans="1:12" x14ac:dyDescent="0.2">
      <c r="A79" s="1" t="s">
        <v>64</v>
      </c>
      <c r="B79" s="1" t="s">
        <v>19</v>
      </c>
      <c r="C79" s="1">
        <v>25</v>
      </c>
      <c r="D79" s="1">
        <v>30</v>
      </c>
      <c r="E79" s="1">
        <v>27</v>
      </c>
      <c r="F79" s="1">
        <v>0.48363077644659391</v>
      </c>
      <c r="I79" s="1">
        <v>4557117</v>
      </c>
      <c r="J79" s="1" t="s">
        <v>10</v>
      </c>
      <c r="K79" s="1" t="s">
        <v>23</v>
      </c>
      <c r="L79" s="1" t="s">
        <v>48</v>
      </c>
    </row>
    <row r="80" spans="1:12" x14ac:dyDescent="0.2">
      <c r="A80" s="1" t="s">
        <v>65</v>
      </c>
      <c r="B80" s="1" t="s">
        <v>19</v>
      </c>
      <c r="C80" s="1">
        <v>30</v>
      </c>
      <c r="D80" s="1">
        <v>35</v>
      </c>
      <c r="E80" s="1">
        <v>32</v>
      </c>
      <c r="F80" s="1">
        <v>0.94637752406769438</v>
      </c>
      <c r="I80" s="1">
        <v>3854083</v>
      </c>
      <c r="J80" s="1" t="s">
        <v>10</v>
      </c>
      <c r="K80" s="1" t="s">
        <v>23</v>
      </c>
      <c r="L80" s="1" t="s">
        <v>48</v>
      </c>
    </row>
    <row r="81" spans="1:12" x14ac:dyDescent="0.2">
      <c r="A81" s="1" t="s">
        <v>66</v>
      </c>
      <c r="B81" s="1" t="s">
        <v>19</v>
      </c>
      <c r="C81" s="1">
        <v>35</v>
      </c>
      <c r="D81" s="1">
        <v>40</v>
      </c>
      <c r="E81" s="1">
        <v>37</v>
      </c>
      <c r="F81" s="1">
        <v>1.941748468946249</v>
      </c>
      <c r="I81" s="1">
        <v>3031712</v>
      </c>
      <c r="J81" s="1" t="s">
        <v>10</v>
      </c>
      <c r="K81" s="1" t="s">
        <v>23</v>
      </c>
      <c r="L81" s="1" t="s">
        <v>48</v>
      </c>
    </row>
    <row r="82" spans="1:12" x14ac:dyDescent="0.2">
      <c r="A82" s="1" t="s">
        <v>67</v>
      </c>
      <c r="B82" s="1" t="s">
        <v>19</v>
      </c>
      <c r="C82" s="1">
        <v>40</v>
      </c>
      <c r="D82" s="1">
        <v>45</v>
      </c>
      <c r="E82" s="1">
        <v>42</v>
      </c>
      <c r="F82" s="1">
        <v>3.7112805681497321</v>
      </c>
      <c r="I82" s="1">
        <v>2655844</v>
      </c>
      <c r="J82" s="1" t="s">
        <v>10</v>
      </c>
      <c r="K82" s="1" t="s">
        <v>23</v>
      </c>
      <c r="L82" s="1" t="s">
        <v>48</v>
      </c>
    </row>
    <row r="83" spans="1:12" x14ac:dyDescent="0.2">
      <c r="A83" s="1" t="s">
        <v>68</v>
      </c>
      <c r="B83" s="1" t="s">
        <v>19</v>
      </c>
      <c r="C83" s="1">
        <v>45</v>
      </c>
      <c r="D83" s="1">
        <v>50</v>
      </c>
      <c r="E83" s="1">
        <v>47</v>
      </c>
      <c r="F83" s="1">
        <v>6.6604077903200007</v>
      </c>
      <c r="I83" s="1">
        <v>2688338</v>
      </c>
      <c r="J83" s="1" t="s">
        <v>10</v>
      </c>
      <c r="K83" s="1" t="s">
        <v>23</v>
      </c>
      <c r="L83" s="1" t="s">
        <v>48</v>
      </c>
    </row>
    <row r="84" spans="1:12" x14ac:dyDescent="0.2">
      <c r="A84" s="1" t="s">
        <v>69</v>
      </c>
      <c r="B84" s="1" t="s">
        <v>19</v>
      </c>
      <c r="C84" s="1">
        <v>50</v>
      </c>
      <c r="D84" s="1">
        <v>55</v>
      </c>
      <c r="E84" s="1">
        <v>52</v>
      </c>
      <c r="F84" s="1">
        <v>14.883870350860068</v>
      </c>
      <c r="I84" s="1">
        <v>2757647</v>
      </c>
      <c r="J84" s="1" t="s">
        <v>10</v>
      </c>
      <c r="K84" s="1" t="s">
        <v>23</v>
      </c>
      <c r="L84" s="1" t="s">
        <v>48</v>
      </c>
    </row>
    <row r="85" spans="1:12" x14ac:dyDescent="0.2">
      <c r="A85" s="1" t="s">
        <v>70</v>
      </c>
      <c r="B85" s="1" t="s">
        <v>19</v>
      </c>
      <c r="C85" s="1">
        <v>55</v>
      </c>
      <c r="D85" s="1">
        <v>60</v>
      </c>
      <c r="E85" s="1">
        <v>57</v>
      </c>
      <c r="F85" s="1">
        <v>24.540826176142353</v>
      </c>
      <c r="I85" s="1">
        <v>2517854</v>
      </c>
      <c r="J85" s="1" t="s">
        <v>10</v>
      </c>
      <c r="K85" s="1" t="s">
        <v>23</v>
      </c>
      <c r="L85" s="1" t="s">
        <v>48</v>
      </c>
    </row>
    <row r="86" spans="1:12" x14ac:dyDescent="0.2">
      <c r="A86" s="1" t="s">
        <v>71</v>
      </c>
      <c r="B86" s="1" t="s">
        <v>19</v>
      </c>
      <c r="C86" s="1">
        <v>60</v>
      </c>
      <c r="D86" s="1">
        <v>65</v>
      </c>
      <c r="E86" s="1">
        <v>62</v>
      </c>
      <c r="F86" s="1">
        <v>37.924379239530495</v>
      </c>
      <c r="I86" s="1">
        <v>2078337</v>
      </c>
      <c r="J86" s="1" t="s">
        <v>10</v>
      </c>
      <c r="K86" s="1" t="s">
        <v>23</v>
      </c>
      <c r="L86" s="1" t="s">
        <v>48</v>
      </c>
    </row>
    <row r="87" spans="1:12" x14ac:dyDescent="0.2">
      <c r="A87" s="1" t="s">
        <v>72</v>
      </c>
      <c r="B87" s="1" t="s">
        <v>19</v>
      </c>
      <c r="C87" s="1">
        <v>65</v>
      </c>
      <c r="D87" s="1">
        <v>70</v>
      </c>
      <c r="E87" s="1">
        <v>67</v>
      </c>
      <c r="F87" s="1">
        <v>56.300911195424902</v>
      </c>
      <c r="I87" s="1">
        <v>1595444</v>
      </c>
      <c r="J87" s="1" t="s">
        <v>10</v>
      </c>
      <c r="K87" s="1" t="s">
        <v>23</v>
      </c>
      <c r="L87" s="1" t="s">
        <v>48</v>
      </c>
    </row>
    <row r="88" spans="1:12" x14ac:dyDescent="0.2">
      <c r="A88" s="1" t="s">
        <v>73</v>
      </c>
      <c r="B88" s="1" t="s">
        <v>19</v>
      </c>
      <c r="C88" s="1">
        <v>70</v>
      </c>
      <c r="D88" s="1">
        <v>75</v>
      </c>
      <c r="E88" s="1">
        <v>72</v>
      </c>
      <c r="F88" s="1">
        <v>72.490232067088982</v>
      </c>
      <c r="I88" s="1">
        <v>1134899</v>
      </c>
      <c r="J88" s="1" t="s">
        <v>10</v>
      </c>
      <c r="K88" s="1" t="s">
        <v>23</v>
      </c>
      <c r="L88" s="1" t="s">
        <v>48</v>
      </c>
    </row>
    <row r="89" spans="1:12" x14ac:dyDescent="0.2">
      <c r="A89" s="1" t="s">
        <v>74</v>
      </c>
      <c r="B89" s="1" t="s">
        <v>19</v>
      </c>
      <c r="C89" s="1">
        <v>75</v>
      </c>
      <c r="D89" s="1">
        <v>80</v>
      </c>
      <c r="E89" s="1">
        <v>77</v>
      </c>
      <c r="F89" s="1">
        <v>90.73340751985539</v>
      </c>
      <c r="I89" s="1">
        <v>736030</v>
      </c>
      <c r="J89" s="1" t="s">
        <v>10</v>
      </c>
      <c r="K89" s="1" t="s">
        <v>23</v>
      </c>
      <c r="L89" s="1" t="s">
        <v>48</v>
      </c>
    </row>
    <row r="90" spans="1:12" x14ac:dyDescent="0.2">
      <c r="A90" s="1" t="s">
        <v>75</v>
      </c>
      <c r="B90" s="1" t="s">
        <v>19</v>
      </c>
      <c r="C90" s="1">
        <v>80</v>
      </c>
      <c r="D90" s="1">
        <v>85</v>
      </c>
      <c r="E90" s="1">
        <v>82</v>
      </c>
      <c r="F90" s="1">
        <v>106.83511305706607</v>
      </c>
      <c r="I90" s="1">
        <v>440318</v>
      </c>
      <c r="J90" s="1" t="s">
        <v>10</v>
      </c>
      <c r="K90" s="1" t="s">
        <v>23</v>
      </c>
      <c r="L90" s="1" t="s">
        <v>48</v>
      </c>
    </row>
    <row r="91" spans="1:12" x14ac:dyDescent="0.2">
      <c r="A91" s="1" t="s">
        <v>76</v>
      </c>
      <c r="B91" s="1" t="s">
        <v>19</v>
      </c>
      <c r="C91" s="1">
        <v>85</v>
      </c>
      <c r="D91" s="1">
        <v>90</v>
      </c>
      <c r="E91" s="1">
        <v>87</v>
      </c>
      <c r="F91" s="1">
        <v>104.31431722281667</v>
      </c>
      <c r="I91" s="1">
        <v>288662</v>
      </c>
      <c r="J91" s="1" t="s">
        <v>10</v>
      </c>
      <c r="K91" s="1" t="s">
        <v>23</v>
      </c>
      <c r="L91" s="1" t="s">
        <v>48</v>
      </c>
    </row>
    <row r="92" spans="1:12" x14ac:dyDescent="0.2">
      <c r="A92" s="1" t="s">
        <v>77</v>
      </c>
      <c r="B92" s="1" t="s">
        <v>19</v>
      </c>
      <c r="C92" s="1">
        <v>20</v>
      </c>
      <c r="D92" s="1">
        <v>25</v>
      </c>
      <c r="E92" s="1">
        <v>22</v>
      </c>
      <c r="F92" s="1">
        <v>0.11600079642691483</v>
      </c>
      <c r="I92" s="1">
        <v>4823448</v>
      </c>
      <c r="J92" s="1" t="s">
        <v>10</v>
      </c>
      <c r="K92" s="1" t="s">
        <v>23</v>
      </c>
      <c r="L92" s="1" t="s">
        <v>48</v>
      </c>
    </row>
    <row r="93" spans="1:12" x14ac:dyDescent="0.2">
      <c r="A93" s="1" t="s">
        <v>78</v>
      </c>
      <c r="B93" s="1" t="s">
        <v>19</v>
      </c>
      <c r="C93" s="1">
        <v>25</v>
      </c>
      <c r="D93" s="1">
        <v>30</v>
      </c>
      <c r="E93" s="1">
        <v>27</v>
      </c>
      <c r="F93" s="1">
        <v>0.29568226249922486</v>
      </c>
      <c r="I93" s="1">
        <v>4557117</v>
      </c>
      <c r="J93" s="1" t="s">
        <v>10</v>
      </c>
      <c r="K93" s="1" t="s">
        <v>23</v>
      </c>
      <c r="L93" s="1" t="s">
        <v>48</v>
      </c>
    </row>
    <row r="94" spans="1:12" x14ac:dyDescent="0.2">
      <c r="A94" s="1" t="s">
        <v>79</v>
      </c>
      <c r="B94" s="1" t="s">
        <v>19</v>
      </c>
      <c r="C94" s="1">
        <v>30</v>
      </c>
      <c r="D94" s="1">
        <v>35</v>
      </c>
      <c r="E94" s="1">
        <v>32</v>
      </c>
      <c r="F94" s="1">
        <v>0.93430646284578267</v>
      </c>
      <c r="I94" s="1">
        <v>3854083</v>
      </c>
      <c r="J94" s="1" t="s">
        <v>10</v>
      </c>
      <c r="K94" s="1" t="s">
        <v>23</v>
      </c>
      <c r="L94" s="1" t="s">
        <v>48</v>
      </c>
    </row>
    <row r="95" spans="1:12" x14ac:dyDescent="0.2">
      <c r="A95" s="1" t="s">
        <v>80</v>
      </c>
      <c r="B95" s="1" t="s">
        <v>19</v>
      </c>
      <c r="C95" s="1">
        <v>35</v>
      </c>
      <c r="D95" s="1">
        <v>40</v>
      </c>
      <c r="E95" s="1">
        <v>37</v>
      </c>
      <c r="F95" s="1">
        <v>1.3778197967066419</v>
      </c>
      <c r="I95" s="1">
        <v>3031712</v>
      </c>
      <c r="J95" s="1" t="s">
        <v>10</v>
      </c>
      <c r="K95" s="1" t="s">
        <v>23</v>
      </c>
      <c r="L95" s="1" t="s">
        <v>48</v>
      </c>
    </row>
    <row r="96" spans="1:12" x14ac:dyDescent="0.2">
      <c r="A96" s="1" t="s">
        <v>81</v>
      </c>
      <c r="B96" s="1" t="s">
        <v>19</v>
      </c>
      <c r="C96" s="1">
        <v>40</v>
      </c>
      <c r="D96" s="1">
        <v>45</v>
      </c>
      <c r="E96" s="1">
        <v>42</v>
      </c>
      <c r="F96" s="1">
        <v>2.7955468548581246</v>
      </c>
      <c r="I96" s="1">
        <v>2655844</v>
      </c>
      <c r="J96" s="1" t="s">
        <v>10</v>
      </c>
      <c r="K96" s="1" t="s">
        <v>23</v>
      </c>
      <c r="L96" s="1" t="s">
        <v>48</v>
      </c>
    </row>
    <row r="97" spans="1:12" x14ac:dyDescent="0.2">
      <c r="A97" s="1" t="s">
        <v>82</v>
      </c>
      <c r="B97" s="1" t="s">
        <v>19</v>
      </c>
      <c r="C97" s="1">
        <v>45</v>
      </c>
      <c r="D97" s="1">
        <v>50</v>
      </c>
      <c r="E97" s="1">
        <v>47</v>
      </c>
      <c r="F97" s="1">
        <v>7.7335239254289752</v>
      </c>
      <c r="I97" s="1">
        <v>2688338</v>
      </c>
      <c r="J97" s="1" t="s">
        <v>10</v>
      </c>
      <c r="K97" s="1" t="s">
        <v>23</v>
      </c>
      <c r="L97" s="1" t="s">
        <v>48</v>
      </c>
    </row>
    <row r="98" spans="1:12" x14ac:dyDescent="0.2">
      <c r="A98" s="1" t="s">
        <v>83</v>
      </c>
      <c r="B98" s="1" t="s">
        <v>19</v>
      </c>
      <c r="C98" s="1">
        <v>50</v>
      </c>
      <c r="D98" s="1">
        <v>55</v>
      </c>
      <c r="E98" s="1">
        <v>52</v>
      </c>
      <c r="F98" s="1">
        <v>15.208807595056463</v>
      </c>
      <c r="I98" s="1">
        <v>2757647</v>
      </c>
      <c r="J98" s="1" t="s">
        <v>10</v>
      </c>
      <c r="K98" s="1" t="s">
        <v>23</v>
      </c>
      <c r="L98" s="1" t="s">
        <v>48</v>
      </c>
    </row>
    <row r="99" spans="1:12" x14ac:dyDescent="0.2">
      <c r="A99" s="1" t="s">
        <v>84</v>
      </c>
      <c r="B99" s="1" t="s">
        <v>19</v>
      </c>
      <c r="C99" s="1">
        <v>55</v>
      </c>
      <c r="D99" s="1">
        <v>60</v>
      </c>
      <c r="E99" s="1">
        <v>57</v>
      </c>
      <c r="F99" s="1">
        <v>24.777594977132871</v>
      </c>
      <c r="I99" s="1">
        <v>2517854</v>
      </c>
      <c r="J99" s="1" t="s">
        <v>10</v>
      </c>
      <c r="K99" s="1" t="s">
        <v>23</v>
      </c>
      <c r="L99" s="1" t="s">
        <v>48</v>
      </c>
    </row>
    <row r="100" spans="1:12" x14ac:dyDescent="0.2">
      <c r="A100" s="1" t="s">
        <v>85</v>
      </c>
      <c r="B100" s="1" t="s">
        <v>19</v>
      </c>
      <c r="C100" s="1">
        <v>60</v>
      </c>
      <c r="D100" s="1">
        <v>65</v>
      </c>
      <c r="E100" s="1">
        <v>62</v>
      </c>
      <c r="F100" s="1">
        <v>37.114082140929469</v>
      </c>
      <c r="I100" s="1">
        <v>2078337</v>
      </c>
      <c r="J100" s="1" t="s">
        <v>10</v>
      </c>
      <c r="K100" s="1" t="s">
        <v>23</v>
      </c>
      <c r="L100" s="1" t="s">
        <v>48</v>
      </c>
    </row>
    <row r="101" spans="1:12" x14ac:dyDescent="0.2">
      <c r="A101" s="1" t="s">
        <v>86</v>
      </c>
      <c r="B101" s="1" t="s">
        <v>19</v>
      </c>
      <c r="C101" s="1">
        <v>65</v>
      </c>
      <c r="D101" s="1">
        <v>70</v>
      </c>
      <c r="E101" s="1">
        <v>67</v>
      </c>
      <c r="F101" s="1">
        <v>61.797991087166764</v>
      </c>
      <c r="I101" s="1">
        <v>1595444</v>
      </c>
      <c r="J101" s="1" t="s">
        <v>10</v>
      </c>
      <c r="K101" s="1" t="s">
        <v>23</v>
      </c>
      <c r="L101" s="1" t="s">
        <v>48</v>
      </c>
    </row>
    <row r="102" spans="1:12" x14ac:dyDescent="0.2">
      <c r="A102" s="1" t="s">
        <v>87</v>
      </c>
      <c r="B102" s="1" t="s">
        <v>19</v>
      </c>
      <c r="C102" s="1">
        <v>70</v>
      </c>
      <c r="D102" s="1">
        <v>75</v>
      </c>
      <c r="E102" s="1">
        <v>72</v>
      </c>
      <c r="F102" s="1">
        <v>83.640134131503856</v>
      </c>
      <c r="I102" s="1">
        <v>1134899</v>
      </c>
      <c r="J102" s="1" t="s">
        <v>10</v>
      </c>
      <c r="K102" s="1" t="s">
        <v>23</v>
      </c>
      <c r="L102" s="1" t="s">
        <v>48</v>
      </c>
    </row>
    <row r="103" spans="1:12" x14ac:dyDescent="0.2">
      <c r="A103" s="1" t="s">
        <v>88</v>
      </c>
      <c r="B103" s="1" t="s">
        <v>19</v>
      </c>
      <c r="C103" s="1">
        <v>75</v>
      </c>
      <c r="D103" s="1">
        <v>80</v>
      </c>
      <c r="E103" s="1">
        <v>77</v>
      </c>
      <c r="F103" s="1">
        <v>105.6482537138838</v>
      </c>
      <c r="I103" s="1">
        <v>736030</v>
      </c>
      <c r="J103" s="1" t="s">
        <v>10</v>
      </c>
      <c r="K103" s="1" t="s">
        <v>23</v>
      </c>
      <c r="L103" s="1" t="s">
        <v>48</v>
      </c>
    </row>
    <row r="104" spans="1:12" x14ac:dyDescent="0.2">
      <c r="A104" s="1" t="s">
        <v>89</v>
      </c>
      <c r="B104" s="1" t="s">
        <v>19</v>
      </c>
      <c r="C104" s="1">
        <v>80</v>
      </c>
      <c r="D104" s="1">
        <v>85</v>
      </c>
      <c r="E104" s="1">
        <v>82</v>
      </c>
      <c r="F104" s="1">
        <v>132.33892419452866</v>
      </c>
      <c r="I104" s="1">
        <v>440318</v>
      </c>
      <c r="J104" s="1" t="s">
        <v>10</v>
      </c>
      <c r="K104" s="1" t="s">
        <v>23</v>
      </c>
      <c r="L104" s="1" t="s">
        <v>48</v>
      </c>
    </row>
    <row r="105" spans="1:12" x14ac:dyDescent="0.2">
      <c r="A105" s="1" t="s">
        <v>90</v>
      </c>
      <c r="B105" s="1" t="s">
        <v>19</v>
      </c>
      <c r="C105" s="1">
        <v>85</v>
      </c>
      <c r="D105" s="1">
        <v>90</v>
      </c>
      <c r="E105" s="1">
        <v>87</v>
      </c>
      <c r="F105" s="1">
        <v>136.29022142210374</v>
      </c>
      <c r="I105" s="1">
        <v>288662</v>
      </c>
      <c r="J105" s="1" t="s">
        <v>10</v>
      </c>
      <c r="K105" s="1" t="s">
        <v>23</v>
      </c>
      <c r="L105" s="1" t="s">
        <v>48</v>
      </c>
    </row>
    <row r="106" spans="1:12" x14ac:dyDescent="0.2">
      <c r="A106" s="1" t="s">
        <v>34</v>
      </c>
      <c r="B106" s="1" t="s">
        <v>19</v>
      </c>
      <c r="C106" s="1">
        <v>20</v>
      </c>
      <c r="D106" s="1">
        <v>25</v>
      </c>
      <c r="E106" s="1">
        <f t="shared" ref="E106:E133" si="9">FLOOR(AVERAGE(C106,D106), 1)</f>
        <v>22</v>
      </c>
      <c r="F106" s="1">
        <v>4.1509983773747344E-2</v>
      </c>
      <c r="I106" s="1">
        <v>4823448</v>
      </c>
      <c r="J106" s="1" t="s">
        <v>11</v>
      </c>
      <c r="K106" s="1" t="s">
        <v>23</v>
      </c>
      <c r="L106" s="1" t="s">
        <v>48</v>
      </c>
    </row>
    <row r="107" spans="1:12" x14ac:dyDescent="0.2">
      <c r="A107" s="1" t="s">
        <v>35</v>
      </c>
      <c r="B107" s="1" t="s">
        <v>19</v>
      </c>
      <c r="C107" s="1">
        <v>25</v>
      </c>
      <c r="D107" s="1">
        <f t="shared" ref="D107:D118" si="10">C108</f>
        <v>30</v>
      </c>
      <c r="E107" s="1">
        <f t="shared" si="9"/>
        <v>27</v>
      </c>
      <c r="F107" s="1">
        <v>0.13745178807512864</v>
      </c>
      <c r="I107" s="1">
        <v>4557117</v>
      </c>
      <c r="J107" s="1" t="s">
        <v>11</v>
      </c>
      <c r="K107" s="1" t="s">
        <v>23</v>
      </c>
      <c r="L107" s="1" t="s">
        <v>48</v>
      </c>
    </row>
    <row r="108" spans="1:12" x14ac:dyDescent="0.2">
      <c r="A108" s="1" t="s">
        <v>36</v>
      </c>
      <c r="B108" s="1" t="s">
        <v>19</v>
      </c>
      <c r="C108" s="1">
        <v>30</v>
      </c>
      <c r="D108" s="1">
        <f t="shared" si="10"/>
        <v>35</v>
      </c>
      <c r="E108" s="1">
        <f t="shared" si="9"/>
        <v>32</v>
      </c>
      <c r="F108" s="1">
        <v>0.38822985907676527</v>
      </c>
      <c r="I108" s="1">
        <v>3854083</v>
      </c>
      <c r="J108" s="1" t="s">
        <v>11</v>
      </c>
      <c r="K108" s="1" t="s">
        <v>23</v>
      </c>
      <c r="L108" s="1" t="s">
        <v>48</v>
      </c>
    </row>
    <row r="109" spans="1:12" x14ac:dyDescent="0.2">
      <c r="A109" s="1" t="s">
        <v>37</v>
      </c>
      <c r="B109" s="1" t="s">
        <v>19</v>
      </c>
      <c r="C109" s="1">
        <v>35</v>
      </c>
      <c r="D109" s="1">
        <f t="shared" si="10"/>
        <v>40</v>
      </c>
      <c r="E109" s="1">
        <f t="shared" si="9"/>
        <v>37</v>
      </c>
      <c r="F109" s="1">
        <v>0.8073377659282317</v>
      </c>
      <c r="I109" s="1">
        <v>3031712</v>
      </c>
      <c r="J109" s="1" t="s">
        <v>11</v>
      </c>
      <c r="K109" s="1" t="s">
        <v>23</v>
      </c>
      <c r="L109" s="1" t="s">
        <v>48</v>
      </c>
    </row>
    <row r="110" spans="1:12" x14ac:dyDescent="0.2">
      <c r="A110" s="1" t="s">
        <v>38</v>
      </c>
      <c r="B110" s="1" t="s">
        <v>19</v>
      </c>
      <c r="C110" s="1">
        <v>40</v>
      </c>
      <c r="D110" s="1">
        <f t="shared" si="10"/>
        <v>45</v>
      </c>
      <c r="E110" s="1">
        <f t="shared" si="9"/>
        <v>42</v>
      </c>
      <c r="F110" s="1">
        <v>2.0276354092880018</v>
      </c>
      <c r="I110" s="1">
        <v>2655844</v>
      </c>
      <c r="J110" s="1" t="s">
        <v>11</v>
      </c>
      <c r="K110" s="1" t="s">
        <v>23</v>
      </c>
      <c r="L110" s="1" t="s">
        <v>48</v>
      </c>
    </row>
    <row r="111" spans="1:12" x14ac:dyDescent="0.2">
      <c r="A111" s="1" t="s">
        <v>39</v>
      </c>
      <c r="B111" s="1" t="s">
        <v>19</v>
      </c>
      <c r="C111" s="1">
        <v>45</v>
      </c>
      <c r="D111" s="1">
        <f t="shared" si="10"/>
        <v>50</v>
      </c>
      <c r="E111" s="1">
        <f t="shared" si="9"/>
        <v>47</v>
      </c>
      <c r="F111" s="1">
        <v>4.5154874090003618</v>
      </c>
      <c r="I111" s="1">
        <v>2688338</v>
      </c>
      <c r="J111" s="1" t="s">
        <v>11</v>
      </c>
      <c r="K111" s="1" t="s">
        <v>23</v>
      </c>
      <c r="L111" s="1" t="s">
        <v>48</v>
      </c>
    </row>
    <row r="112" spans="1:12" x14ac:dyDescent="0.2">
      <c r="A112" s="1" t="s">
        <v>40</v>
      </c>
      <c r="B112" s="1" t="s">
        <v>19</v>
      </c>
      <c r="C112" s="1">
        <v>50</v>
      </c>
      <c r="D112" s="1">
        <f t="shared" si="10"/>
        <v>55</v>
      </c>
      <c r="E112" s="1">
        <f t="shared" si="9"/>
        <v>52</v>
      </c>
      <c r="F112" s="1">
        <v>8.9865994255457586</v>
      </c>
      <c r="I112" s="1">
        <v>2757647</v>
      </c>
      <c r="J112" s="1" t="s">
        <v>11</v>
      </c>
      <c r="K112" s="1" t="s">
        <v>23</v>
      </c>
      <c r="L112" s="1" t="s">
        <v>48</v>
      </c>
    </row>
    <row r="113" spans="1:12" x14ac:dyDescent="0.2">
      <c r="A113" s="1" t="s">
        <v>41</v>
      </c>
      <c r="B113" s="1" t="s">
        <v>19</v>
      </c>
      <c r="C113" s="1">
        <v>55</v>
      </c>
      <c r="D113" s="1">
        <f t="shared" si="10"/>
        <v>60</v>
      </c>
      <c r="E113" s="1">
        <f t="shared" si="9"/>
        <v>57</v>
      </c>
      <c r="F113" s="1">
        <v>15.197949931927331</v>
      </c>
      <c r="I113" s="1">
        <v>2517854</v>
      </c>
      <c r="J113" s="1" t="s">
        <v>11</v>
      </c>
      <c r="K113" s="1" t="s">
        <v>23</v>
      </c>
      <c r="L113" s="1" t="s">
        <v>48</v>
      </c>
    </row>
    <row r="114" spans="1:12" x14ac:dyDescent="0.2">
      <c r="A114" s="1" t="s">
        <v>42</v>
      </c>
      <c r="B114" s="1" t="s">
        <v>19</v>
      </c>
      <c r="C114" s="1">
        <v>60</v>
      </c>
      <c r="D114" s="1">
        <f t="shared" si="10"/>
        <v>65</v>
      </c>
      <c r="E114" s="1">
        <f t="shared" si="9"/>
        <v>62</v>
      </c>
      <c r="F114" s="1">
        <v>20.541259455749394</v>
      </c>
      <c r="I114" s="1">
        <v>2078337</v>
      </c>
      <c r="J114" s="1" t="s">
        <v>11</v>
      </c>
      <c r="K114" s="1" t="s">
        <v>23</v>
      </c>
      <c r="L114" s="1" t="s">
        <v>48</v>
      </c>
    </row>
    <row r="115" spans="1:12" x14ac:dyDescent="0.2">
      <c r="A115" s="1" t="s">
        <v>43</v>
      </c>
      <c r="B115" s="1" t="s">
        <v>19</v>
      </c>
      <c r="C115" s="1">
        <v>65</v>
      </c>
      <c r="D115" s="1">
        <f t="shared" si="10"/>
        <v>70</v>
      </c>
      <c r="E115" s="1">
        <f t="shared" si="9"/>
        <v>67</v>
      </c>
      <c r="F115" s="1">
        <v>32.41373469046269</v>
      </c>
      <c r="I115" s="1">
        <v>1595444</v>
      </c>
      <c r="J115" s="1" t="s">
        <v>11</v>
      </c>
      <c r="K115" s="1" t="s">
        <v>23</v>
      </c>
      <c r="L115" s="1" t="s">
        <v>48</v>
      </c>
    </row>
    <row r="116" spans="1:12" x14ac:dyDescent="0.2">
      <c r="A116" s="1" t="s">
        <v>44</v>
      </c>
      <c r="B116" s="1" t="s">
        <v>19</v>
      </c>
      <c r="C116" s="1">
        <v>70</v>
      </c>
      <c r="D116" s="1">
        <f t="shared" si="10"/>
        <v>75</v>
      </c>
      <c r="E116" s="1">
        <f t="shared" si="9"/>
        <v>72</v>
      </c>
      <c r="F116" s="1">
        <v>41.706164387595464</v>
      </c>
      <c r="I116" s="1">
        <v>1134899</v>
      </c>
      <c r="J116" s="1" t="s">
        <v>11</v>
      </c>
      <c r="K116" s="1" t="s">
        <v>23</v>
      </c>
      <c r="L116" s="1" t="s">
        <v>48</v>
      </c>
    </row>
    <row r="117" spans="1:12" x14ac:dyDescent="0.2">
      <c r="A117" s="1" t="s">
        <v>45</v>
      </c>
      <c r="B117" s="1" t="s">
        <v>19</v>
      </c>
      <c r="C117" s="1">
        <v>75</v>
      </c>
      <c r="D117" s="1">
        <f t="shared" si="10"/>
        <v>80</v>
      </c>
      <c r="E117" s="1">
        <f t="shared" si="9"/>
        <v>77</v>
      </c>
      <c r="F117" s="1">
        <v>51.993294870875545</v>
      </c>
      <c r="I117" s="1">
        <v>736030</v>
      </c>
      <c r="J117" s="1" t="s">
        <v>11</v>
      </c>
      <c r="K117" s="1" t="s">
        <v>23</v>
      </c>
      <c r="L117" s="1" t="s">
        <v>48</v>
      </c>
    </row>
    <row r="118" spans="1:12" x14ac:dyDescent="0.2">
      <c r="A118" s="1" t="s">
        <v>46</v>
      </c>
      <c r="B118" s="1" t="s">
        <v>19</v>
      </c>
      <c r="C118" s="1">
        <v>80</v>
      </c>
      <c r="D118" s="1">
        <f t="shared" si="10"/>
        <v>85</v>
      </c>
      <c r="E118" s="1">
        <f t="shared" si="9"/>
        <v>82</v>
      </c>
      <c r="F118" s="1">
        <v>56.620925187574599</v>
      </c>
      <c r="I118" s="1">
        <v>440318</v>
      </c>
      <c r="J118" s="1" t="s">
        <v>11</v>
      </c>
      <c r="K118" s="1" t="s">
        <v>23</v>
      </c>
      <c r="L118" s="1" t="s">
        <v>48</v>
      </c>
    </row>
    <row r="119" spans="1:12" x14ac:dyDescent="0.2">
      <c r="A119" s="1" t="s">
        <v>47</v>
      </c>
      <c r="B119" s="1" t="s">
        <v>19</v>
      </c>
      <c r="C119" s="1">
        <v>85</v>
      </c>
      <c r="D119" s="1">
        <v>90</v>
      </c>
      <c r="E119" s="1">
        <f t="shared" si="9"/>
        <v>87</v>
      </c>
      <c r="F119" s="1">
        <v>58.657147392404582</v>
      </c>
      <c r="I119" s="1">
        <v>288662</v>
      </c>
      <c r="J119" s="1" t="s">
        <v>11</v>
      </c>
      <c r="K119" s="1" t="s">
        <v>23</v>
      </c>
      <c r="L119" s="1" t="s">
        <v>48</v>
      </c>
    </row>
    <row r="120" spans="1:12" x14ac:dyDescent="0.2">
      <c r="A120" s="1" t="s">
        <v>49</v>
      </c>
      <c r="B120" s="1" t="s">
        <v>19</v>
      </c>
      <c r="C120" s="1">
        <v>20</v>
      </c>
      <c r="D120" s="1">
        <v>25</v>
      </c>
      <c r="E120" s="1">
        <f t="shared" si="9"/>
        <v>22</v>
      </c>
      <c r="F120" s="1">
        <v>0.10377495943436835</v>
      </c>
      <c r="I120" s="1">
        <v>4823448</v>
      </c>
      <c r="J120" s="1" t="s">
        <v>11</v>
      </c>
      <c r="K120" s="1" t="s">
        <v>23</v>
      </c>
      <c r="L120" s="1" t="s">
        <v>48</v>
      </c>
    </row>
    <row r="121" spans="1:12" x14ac:dyDescent="0.2">
      <c r="A121" s="1" t="s">
        <v>50</v>
      </c>
      <c r="B121" s="1" t="s">
        <v>19</v>
      </c>
      <c r="C121" s="1">
        <v>25</v>
      </c>
      <c r="D121" s="1">
        <f t="shared" ref="D121:D132" si="11">C122</f>
        <v>30</v>
      </c>
      <c r="E121" s="1">
        <f t="shared" si="9"/>
        <v>27</v>
      </c>
      <c r="F121" s="1">
        <v>0.40595572385395706</v>
      </c>
      <c r="I121" s="1">
        <v>4557117</v>
      </c>
      <c r="J121" s="1" t="s">
        <v>11</v>
      </c>
      <c r="K121" s="1" t="s">
        <v>23</v>
      </c>
      <c r="L121" s="1" t="s">
        <v>48</v>
      </c>
    </row>
    <row r="122" spans="1:12" x14ac:dyDescent="0.2">
      <c r="A122" s="1" t="s">
        <v>51</v>
      </c>
      <c r="B122" s="1" t="s">
        <v>19</v>
      </c>
      <c r="C122" s="1">
        <v>30</v>
      </c>
      <c r="D122" s="1">
        <f t="shared" si="11"/>
        <v>35</v>
      </c>
      <c r="E122" s="1">
        <f t="shared" si="9"/>
        <v>32</v>
      </c>
      <c r="F122" s="1">
        <v>0.93061482500553039</v>
      </c>
      <c r="I122" s="1">
        <v>3854083</v>
      </c>
      <c r="J122" s="1" t="s">
        <v>11</v>
      </c>
      <c r="K122" s="1" t="s">
        <v>23</v>
      </c>
      <c r="L122" s="1" t="s">
        <v>48</v>
      </c>
    </row>
    <row r="123" spans="1:12" x14ac:dyDescent="0.2">
      <c r="A123" s="1" t="s">
        <v>52</v>
      </c>
      <c r="B123" s="1" t="s">
        <v>19</v>
      </c>
      <c r="C123" s="1">
        <v>35</v>
      </c>
      <c r="D123" s="1">
        <f t="shared" si="11"/>
        <v>40</v>
      </c>
      <c r="E123" s="1">
        <f t="shared" si="9"/>
        <v>37</v>
      </c>
      <c r="F123" s="1">
        <v>1.7680017461848596</v>
      </c>
      <c r="I123" s="1">
        <v>3031712</v>
      </c>
      <c r="J123" s="1" t="s">
        <v>11</v>
      </c>
      <c r="K123" s="1" t="s">
        <v>23</v>
      </c>
      <c r="L123" s="1" t="s">
        <v>48</v>
      </c>
    </row>
    <row r="124" spans="1:12" x14ac:dyDescent="0.2">
      <c r="A124" s="1" t="s">
        <v>53</v>
      </c>
      <c r="B124" s="1" t="s">
        <v>19</v>
      </c>
      <c r="C124" s="1">
        <v>40</v>
      </c>
      <c r="D124" s="1">
        <f t="shared" si="11"/>
        <v>45</v>
      </c>
      <c r="E124" s="1">
        <f t="shared" si="9"/>
        <v>42</v>
      </c>
      <c r="F124" s="1">
        <v>3.9562965361276117</v>
      </c>
      <c r="I124" s="1">
        <v>2655844</v>
      </c>
      <c r="J124" s="1" t="s">
        <v>11</v>
      </c>
      <c r="K124" s="1" t="s">
        <v>23</v>
      </c>
      <c r="L124" s="1" t="s">
        <v>48</v>
      </c>
    </row>
    <row r="125" spans="1:12" x14ac:dyDescent="0.2">
      <c r="A125" s="1" t="s">
        <v>54</v>
      </c>
      <c r="B125" s="1" t="s">
        <v>19</v>
      </c>
      <c r="C125" s="1">
        <v>45</v>
      </c>
      <c r="D125" s="1">
        <f t="shared" si="11"/>
        <v>50</v>
      </c>
      <c r="E125" s="1">
        <f t="shared" si="9"/>
        <v>47</v>
      </c>
      <c r="F125" s="1">
        <v>8.0408627563283552</v>
      </c>
      <c r="I125" s="1">
        <v>2688338</v>
      </c>
      <c r="J125" s="1" t="s">
        <v>11</v>
      </c>
      <c r="K125" s="1" t="s">
        <v>23</v>
      </c>
      <c r="L125" s="1" t="s">
        <v>48</v>
      </c>
    </row>
    <row r="126" spans="1:12" x14ac:dyDescent="0.2">
      <c r="A126" s="1" t="s">
        <v>55</v>
      </c>
      <c r="B126" s="1" t="s">
        <v>19</v>
      </c>
      <c r="C126" s="1">
        <v>50</v>
      </c>
      <c r="D126" s="1">
        <f t="shared" si="11"/>
        <v>55</v>
      </c>
      <c r="E126" s="1">
        <f t="shared" si="9"/>
        <v>52</v>
      </c>
      <c r="F126" s="1">
        <v>14.045286973501838</v>
      </c>
      <c r="I126" s="1">
        <v>2757647</v>
      </c>
      <c r="J126" s="1" t="s">
        <v>11</v>
      </c>
      <c r="K126" s="1" t="s">
        <v>23</v>
      </c>
      <c r="L126" s="1" t="s">
        <v>48</v>
      </c>
    </row>
    <row r="127" spans="1:12" x14ac:dyDescent="0.2">
      <c r="A127" s="1" t="s">
        <v>56</v>
      </c>
      <c r="B127" s="1" t="s">
        <v>19</v>
      </c>
      <c r="C127" s="1">
        <v>55</v>
      </c>
      <c r="D127" s="1">
        <f t="shared" si="11"/>
        <v>60</v>
      </c>
      <c r="E127" s="1">
        <f t="shared" si="9"/>
        <v>57</v>
      </c>
      <c r="F127" s="1">
        <v>24.06068205556819</v>
      </c>
      <c r="I127" s="1">
        <v>2517854</v>
      </c>
      <c r="J127" s="1" t="s">
        <v>11</v>
      </c>
      <c r="K127" s="1" t="s">
        <v>23</v>
      </c>
      <c r="L127" s="1" t="s">
        <v>48</v>
      </c>
    </row>
    <row r="128" spans="1:12" x14ac:dyDescent="0.2">
      <c r="A128" s="1" t="s">
        <v>57</v>
      </c>
      <c r="B128" s="1" t="s">
        <v>19</v>
      </c>
      <c r="C128" s="1">
        <v>60</v>
      </c>
      <c r="D128" s="1">
        <f t="shared" si="11"/>
        <v>65</v>
      </c>
      <c r="E128" s="1">
        <f t="shared" si="9"/>
        <v>62</v>
      </c>
      <c r="F128" s="1">
        <v>38.459909081166224</v>
      </c>
      <c r="I128" s="1">
        <v>2078337</v>
      </c>
      <c r="J128" s="1" t="s">
        <v>11</v>
      </c>
      <c r="K128" s="1" t="s">
        <v>23</v>
      </c>
      <c r="L128" s="1" t="s">
        <v>48</v>
      </c>
    </row>
    <row r="129" spans="1:12" x14ac:dyDescent="0.2">
      <c r="A129" s="1" t="s">
        <v>58</v>
      </c>
      <c r="B129" s="1" t="s">
        <v>19</v>
      </c>
      <c r="C129" s="1">
        <v>65</v>
      </c>
      <c r="D129" s="1">
        <f t="shared" si="11"/>
        <v>70</v>
      </c>
      <c r="E129" s="1">
        <f t="shared" si="9"/>
        <v>67</v>
      </c>
      <c r="F129" s="1">
        <v>57.635391103390553</v>
      </c>
      <c r="I129" s="1">
        <v>1595444</v>
      </c>
      <c r="J129" s="1" t="s">
        <v>11</v>
      </c>
      <c r="K129" s="1" t="s">
        <v>23</v>
      </c>
      <c r="L129" s="1" t="s">
        <v>48</v>
      </c>
    </row>
    <row r="130" spans="1:12" x14ac:dyDescent="0.2">
      <c r="A130" s="1" t="s">
        <v>59</v>
      </c>
      <c r="B130" s="1" t="s">
        <v>19</v>
      </c>
      <c r="C130" s="1">
        <v>70</v>
      </c>
      <c r="D130" s="1">
        <f t="shared" si="11"/>
        <v>75</v>
      </c>
      <c r="E130" s="1">
        <f t="shared" si="9"/>
        <v>72</v>
      </c>
      <c r="F130" s="1">
        <v>83.4478547783593</v>
      </c>
      <c r="I130" s="1">
        <v>1134899</v>
      </c>
      <c r="J130" s="1" t="s">
        <v>11</v>
      </c>
      <c r="K130" s="1" t="s">
        <v>23</v>
      </c>
      <c r="L130" s="1" t="s">
        <v>48</v>
      </c>
    </row>
    <row r="131" spans="1:12" x14ac:dyDescent="0.2">
      <c r="A131" s="1" t="s">
        <v>60</v>
      </c>
      <c r="B131" s="1" t="s">
        <v>19</v>
      </c>
      <c r="C131" s="1">
        <v>75</v>
      </c>
      <c r="D131" s="1">
        <f t="shared" si="11"/>
        <v>80</v>
      </c>
      <c r="E131" s="1">
        <f t="shared" si="9"/>
        <v>77</v>
      </c>
      <c r="F131" s="1">
        <v>108.98249942886758</v>
      </c>
      <c r="I131" s="1">
        <v>736030</v>
      </c>
      <c r="J131" s="1" t="s">
        <v>11</v>
      </c>
      <c r="K131" s="1" t="s">
        <v>23</v>
      </c>
      <c r="L131" s="1" t="s">
        <v>48</v>
      </c>
    </row>
    <row r="132" spans="1:12" x14ac:dyDescent="0.2">
      <c r="A132" s="1" t="s">
        <v>61</v>
      </c>
      <c r="B132" s="1" t="s">
        <v>19</v>
      </c>
      <c r="C132" s="1">
        <v>80</v>
      </c>
      <c r="D132" s="1">
        <f t="shared" si="11"/>
        <v>85</v>
      </c>
      <c r="E132" s="1">
        <f t="shared" si="9"/>
        <v>82</v>
      </c>
      <c r="F132" s="1">
        <v>136.12409633728083</v>
      </c>
      <c r="I132" s="1">
        <v>440318</v>
      </c>
      <c r="J132" s="1" t="s">
        <v>11</v>
      </c>
      <c r="K132" s="1" t="s">
        <v>23</v>
      </c>
      <c r="L132" s="1" t="s">
        <v>48</v>
      </c>
    </row>
    <row r="133" spans="1:12" x14ac:dyDescent="0.2">
      <c r="A133" s="1" t="s">
        <v>62</v>
      </c>
      <c r="B133" s="1" t="s">
        <v>19</v>
      </c>
      <c r="C133" s="1">
        <v>85</v>
      </c>
      <c r="D133" s="1">
        <v>90</v>
      </c>
      <c r="E133" s="1">
        <f t="shared" si="9"/>
        <v>87</v>
      </c>
      <c r="F133" s="1">
        <v>149.76253976289851</v>
      </c>
      <c r="I133" s="1">
        <v>288662</v>
      </c>
      <c r="J133" s="1" t="s">
        <v>11</v>
      </c>
      <c r="K133" s="1" t="s">
        <v>23</v>
      </c>
      <c r="L133" s="1" t="s">
        <v>48</v>
      </c>
    </row>
    <row r="134" spans="1:12" x14ac:dyDescent="0.2">
      <c r="A134" s="1" t="s">
        <v>63</v>
      </c>
      <c r="B134" s="1" t="s">
        <v>19</v>
      </c>
      <c r="C134" s="1">
        <v>20</v>
      </c>
      <c r="D134" s="1">
        <v>25</v>
      </c>
      <c r="E134" s="1">
        <v>22</v>
      </c>
      <c r="F134" s="1">
        <v>0.12452995132124202</v>
      </c>
      <c r="I134" s="1">
        <v>4823448</v>
      </c>
      <c r="J134" s="1" t="s">
        <v>11</v>
      </c>
      <c r="K134" s="1" t="s">
        <v>23</v>
      </c>
      <c r="L134" s="1" t="s">
        <v>48</v>
      </c>
    </row>
    <row r="135" spans="1:12" x14ac:dyDescent="0.2">
      <c r="A135" s="1" t="s">
        <v>64</v>
      </c>
      <c r="B135" s="1" t="s">
        <v>19</v>
      </c>
      <c r="C135" s="1">
        <v>25</v>
      </c>
      <c r="D135" s="1">
        <v>30</v>
      </c>
      <c r="E135" s="1">
        <v>27</v>
      </c>
      <c r="F135" s="1">
        <v>0.30621498733339469</v>
      </c>
      <c r="I135" s="1">
        <v>4557117</v>
      </c>
      <c r="J135" s="1" t="s">
        <v>11</v>
      </c>
      <c r="K135" s="1" t="s">
        <v>23</v>
      </c>
      <c r="L135" s="1" t="s">
        <v>48</v>
      </c>
    </row>
    <row r="136" spans="1:12" x14ac:dyDescent="0.2">
      <c r="A136" s="1" t="s">
        <v>65</v>
      </c>
      <c r="B136" s="1" t="s">
        <v>19</v>
      </c>
      <c r="C136" s="1">
        <v>30</v>
      </c>
      <c r="D136" s="1">
        <v>35</v>
      </c>
      <c r="E136" s="1">
        <v>32</v>
      </c>
      <c r="F136" s="1">
        <v>0.78006350932319468</v>
      </c>
      <c r="I136" s="1">
        <v>3854083</v>
      </c>
      <c r="J136" s="1" t="s">
        <v>11</v>
      </c>
      <c r="K136" s="1" t="s">
        <v>23</v>
      </c>
      <c r="L136" s="1" t="s">
        <v>48</v>
      </c>
    </row>
    <row r="137" spans="1:12" x14ac:dyDescent="0.2">
      <c r="A137" s="1" t="s">
        <v>66</v>
      </c>
      <c r="B137" s="1" t="s">
        <v>19</v>
      </c>
      <c r="C137" s="1">
        <v>35</v>
      </c>
      <c r="D137" s="1">
        <v>40</v>
      </c>
      <c r="E137" s="1">
        <v>37</v>
      </c>
      <c r="F137" s="1">
        <v>1.1901566431446882</v>
      </c>
      <c r="I137" s="1">
        <v>3031712</v>
      </c>
      <c r="J137" s="1" t="s">
        <v>11</v>
      </c>
      <c r="K137" s="1" t="s">
        <v>23</v>
      </c>
      <c r="L137" s="1" t="s">
        <v>48</v>
      </c>
    </row>
    <row r="138" spans="1:12" x14ac:dyDescent="0.2">
      <c r="A138" s="1" t="s">
        <v>67</v>
      </c>
      <c r="B138" s="1" t="s">
        <v>19</v>
      </c>
      <c r="C138" s="1">
        <v>40</v>
      </c>
      <c r="D138" s="1">
        <v>45</v>
      </c>
      <c r="E138" s="1">
        <v>42</v>
      </c>
      <c r="F138" s="1">
        <v>3.5763116992540458</v>
      </c>
      <c r="I138" s="1">
        <v>2655844</v>
      </c>
      <c r="J138" s="1" t="s">
        <v>11</v>
      </c>
      <c r="K138" s="1" t="s">
        <v>23</v>
      </c>
      <c r="L138" s="1" t="s">
        <v>48</v>
      </c>
    </row>
    <row r="139" spans="1:12" x14ac:dyDescent="0.2">
      <c r="A139" s="1" t="s">
        <v>68</v>
      </c>
      <c r="B139" s="1" t="s">
        <v>19</v>
      </c>
      <c r="C139" s="1">
        <v>45</v>
      </c>
      <c r="D139" s="1">
        <v>50</v>
      </c>
      <c r="E139" s="1">
        <v>47</v>
      </c>
      <c r="F139" s="1">
        <v>8.4474102153864763</v>
      </c>
      <c r="I139" s="1">
        <v>2688338</v>
      </c>
      <c r="J139" s="1" t="s">
        <v>11</v>
      </c>
      <c r="K139" s="1" t="s">
        <v>23</v>
      </c>
      <c r="L139" s="1" t="s">
        <v>48</v>
      </c>
    </row>
    <row r="140" spans="1:12" x14ac:dyDescent="0.2">
      <c r="A140" s="1" t="s">
        <v>69</v>
      </c>
      <c r="B140" s="1" t="s">
        <v>19</v>
      </c>
      <c r="C140" s="1">
        <v>50</v>
      </c>
      <c r="D140" s="1">
        <v>55</v>
      </c>
      <c r="E140" s="1">
        <v>52</v>
      </c>
      <c r="F140" s="1">
        <v>13.51009274735776</v>
      </c>
      <c r="I140" s="1">
        <v>2757647</v>
      </c>
      <c r="J140" s="1" t="s">
        <v>11</v>
      </c>
      <c r="K140" s="1" t="s">
        <v>23</v>
      </c>
      <c r="L140" s="1" t="s">
        <v>48</v>
      </c>
    </row>
    <row r="141" spans="1:12" x14ac:dyDescent="0.2">
      <c r="A141" s="1" t="s">
        <v>70</v>
      </c>
      <c r="B141" s="1" t="s">
        <v>19</v>
      </c>
      <c r="C141" s="1">
        <v>55</v>
      </c>
      <c r="D141" s="1">
        <v>60</v>
      </c>
      <c r="E141" s="1">
        <v>57</v>
      </c>
      <c r="F141" s="1">
        <v>21.537069703013472</v>
      </c>
      <c r="I141" s="1">
        <v>2517854</v>
      </c>
      <c r="J141" s="1" t="s">
        <v>11</v>
      </c>
      <c r="K141" s="1" t="s">
        <v>23</v>
      </c>
      <c r="L141" s="1" t="s">
        <v>48</v>
      </c>
    </row>
    <row r="142" spans="1:12" x14ac:dyDescent="0.2">
      <c r="A142" s="1" t="s">
        <v>71</v>
      </c>
      <c r="B142" s="1" t="s">
        <v>19</v>
      </c>
      <c r="C142" s="1">
        <v>60</v>
      </c>
      <c r="D142" s="1">
        <v>65</v>
      </c>
      <c r="E142" s="1">
        <v>62</v>
      </c>
      <c r="F142" s="1">
        <v>29.689515270946618</v>
      </c>
      <c r="I142" s="1">
        <v>2078337</v>
      </c>
      <c r="J142" s="1" t="s">
        <v>11</v>
      </c>
      <c r="K142" s="1" t="s">
        <v>23</v>
      </c>
      <c r="L142" s="1" t="s">
        <v>48</v>
      </c>
    </row>
    <row r="143" spans="1:12" x14ac:dyDescent="0.2">
      <c r="A143" s="1" t="s">
        <v>72</v>
      </c>
      <c r="B143" s="1" t="s">
        <v>19</v>
      </c>
      <c r="C143" s="1">
        <v>65</v>
      </c>
      <c r="D143" s="1">
        <v>70</v>
      </c>
      <c r="E143" s="1">
        <v>67</v>
      </c>
      <c r="F143" s="1">
        <v>39.626575364069105</v>
      </c>
      <c r="I143" s="1">
        <v>1595444</v>
      </c>
      <c r="J143" s="1" t="s">
        <v>11</v>
      </c>
      <c r="K143" s="1" t="s">
        <v>23</v>
      </c>
      <c r="L143" s="1" t="s">
        <v>48</v>
      </c>
    </row>
    <row r="144" spans="1:12" x14ac:dyDescent="0.2">
      <c r="A144" s="1" t="s">
        <v>73</v>
      </c>
      <c r="B144" s="1" t="s">
        <v>19</v>
      </c>
      <c r="C144" s="1">
        <v>70</v>
      </c>
      <c r="D144" s="1">
        <v>75</v>
      </c>
      <c r="E144" s="1">
        <v>72</v>
      </c>
      <c r="F144" s="1">
        <v>54.292904251798348</v>
      </c>
      <c r="I144" s="1">
        <v>1134899</v>
      </c>
      <c r="J144" s="1" t="s">
        <v>11</v>
      </c>
      <c r="K144" s="1" t="s">
        <v>23</v>
      </c>
      <c r="L144" s="1" t="s">
        <v>48</v>
      </c>
    </row>
    <row r="145" spans="1:12" x14ac:dyDescent="0.2">
      <c r="A145" s="1" t="s">
        <v>74</v>
      </c>
      <c r="B145" s="1" t="s">
        <v>19</v>
      </c>
      <c r="C145" s="1">
        <v>75</v>
      </c>
      <c r="D145" s="1">
        <v>80</v>
      </c>
      <c r="E145" s="1">
        <v>77</v>
      </c>
      <c r="F145" s="1">
        <v>74.370576025791038</v>
      </c>
      <c r="I145" s="1">
        <v>736030</v>
      </c>
      <c r="J145" s="1" t="s">
        <v>11</v>
      </c>
      <c r="K145" s="1" t="s">
        <v>23</v>
      </c>
      <c r="L145" s="1" t="s">
        <v>48</v>
      </c>
    </row>
    <row r="146" spans="1:12" x14ac:dyDescent="0.2">
      <c r="A146" s="1" t="s">
        <v>75</v>
      </c>
      <c r="B146" s="1" t="s">
        <v>19</v>
      </c>
      <c r="C146" s="1">
        <v>80</v>
      </c>
      <c r="D146" s="1">
        <v>85</v>
      </c>
      <c r="E146" s="1">
        <v>82</v>
      </c>
      <c r="F146" s="1">
        <v>80.613568883815148</v>
      </c>
      <c r="I146" s="1">
        <v>440318</v>
      </c>
      <c r="J146" s="1" t="s">
        <v>11</v>
      </c>
      <c r="K146" s="1" t="s">
        <v>23</v>
      </c>
      <c r="L146" s="1" t="s">
        <v>48</v>
      </c>
    </row>
    <row r="147" spans="1:12" x14ac:dyDescent="0.2">
      <c r="A147" s="1" t="s">
        <v>76</v>
      </c>
      <c r="B147" s="1" t="s">
        <v>19</v>
      </c>
      <c r="C147" s="1">
        <v>85</v>
      </c>
      <c r="D147" s="1">
        <v>90</v>
      </c>
      <c r="E147" s="1">
        <v>87</v>
      </c>
      <c r="F147" s="1">
        <v>84.54214323329272</v>
      </c>
      <c r="I147" s="1">
        <v>288662</v>
      </c>
      <c r="J147" s="1" t="s">
        <v>11</v>
      </c>
      <c r="K147" s="1" t="s">
        <v>23</v>
      </c>
      <c r="L147" s="1" t="s">
        <v>48</v>
      </c>
    </row>
    <row r="148" spans="1:12" x14ac:dyDescent="0.2">
      <c r="A148" s="1" t="s">
        <v>77</v>
      </c>
      <c r="B148" s="1" t="s">
        <v>19</v>
      </c>
      <c r="C148" s="1">
        <v>20</v>
      </c>
      <c r="D148" s="1">
        <v>25</v>
      </c>
      <c r="E148" s="1">
        <v>22</v>
      </c>
      <c r="F148" s="1">
        <v>0.12452995132124203</v>
      </c>
      <c r="I148" s="1">
        <v>4823448</v>
      </c>
      <c r="J148" s="1" t="s">
        <v>11</v>
      </c>
      <c r="K148" s="1" t="s">
        <v>23</v>
      </c>
      <c r="L148" s="1" t="s">
        <v>48</v>
      </c>
    </row>
    <row r="149" spans="1:12" x14ac:dyDescent="0.2">
      <c r="A149" s="1" t="s">
        <v>78</v>
      </c>
      <c r="B149" s="1" t="s">
        <v>19</v>
      </c>
      <c r="C149" s="1">
        <v>25</v>
      </c>
      <c r="D149" s="1">
        <v>30</v>
      </c>
      <c r="E149" s="1">
        <v>27</v>
      </c>
      <c r="F149" s="1">
        <v>0.37411361078635963</v>
      </c>
      <c r="I149" s="1">
        <v>4557117</v>
      </c>
      <c r="J149" s="1" t="s">
        <v>11</v>
      </c>
      <c r="K149" s="1" t="s">
        <v>23</v>
      </c>
      <c r="L149" s="1" t="s">
        <v>48</v>
      </c>
    </row>
    <row r="150" spans="1:12" x14ac:dyDescent="0.2">
      <c r="A150" s="1" t="s">
        <v>79</v>
      </c>
      <c r="B150" s="1" t="s">
        <v>19</v>
      </c>
      <c r="C150" s="1">
        <v>30</v>
      </c>
      <c r="D150" s="1">
        <v>35</v>
      </c>
      <c r="E150" s="1">
        <v>32</v>
      </c>
      <c r="F150" s="1">
        <v>0.55990375795423097</v>
      </c>
      <c r="I150" s="1">
        <v>3854083</v>
      </c>
      <c r="J150" s="1" t="s">
        <v>11</v>
      </c>
      <c r="K150" s="1" t="s">
        <v>23</v>
      </c>
      <c r="L150" s="1" t="s">
        <v>48</v>
      </c>
    </row>
    <row r="151" spans="1:12" x14ac:dyDescent="0.2">
      <c r="A151" s="1" t="s">
        <v>80</v>
      </c>
      <c r="B151" s="1" t="s">
        <v>19</v>
      </c>
      <c r="C151" s="1">
        <v>35</v>
      </c>
      <c r="D151" s="1">
        <v>40</v>
      </c>
      <c r="E151" s="1">
        <v>37</v>
      </c>
      <c r="F151" s="1">
        <v>1.7215369893037278</v>
      </c>
      <c r="I151" s="1">
        <v>3031712</v>
      </c>
      <c r="J151" s="1" t="s">
        <v>11</v>
      </c>
      <c r="K151" s="1" t="s">
        <v>23</v>
      </c>
      <c r="L151" s="1" t="s">
        <v>48</v>
      </c>
    </row>
    <row r="152" spans="1:12" x14ac:dyDescent="0.2">
      <c r="A152" s="1" t="s">
        <v>81</v>
      </c>
      <c r="B152" s="1" t="s">
        <v>19</v>
      </c>
      <c r="C152" s="1">
        <v>40</v>
      </c>
      <c r="D152" s="1">
        <v>45</v>
      </c>
      <c r="E152" s="1">
        <v>42</v>
      </c>
      <c r="F152" s="1">
        <v>3.3802703642770471</v>
      </c>
      <c r="I152" s="1">
        <v>2655844</v>
      </c>
      <c r="J152" s="1" t="s">
        <v>11</v>
      </c>
      <c r="K152" s="1" t="s">
        <v>23</v>
      </c>
      <c r="L152" s="1" t="s">
        <v>48</v>
      </c>
    </row>
    <row r="153" spans="1:12" x14ac:dyDescent="0.2">
      <c r="A153" s="1" t="s">
        <v>82</v>
      </c>
      <c r="B153" s="1" t="s">
        <v>19</v>
      </c>
      <c r="C153" s="1">
        <v>45</v>
      </c>
      <c r="D153" s="1">
        <v>50</v>
      </c>
      <c r="E153" s="1">
        <v>47</v>
      </c>
      <c r="F153" s="1">
        <v>6.8711372550599181</v>
      </c>
      <c r="I153" s="1">
        <v>2688338</v>
      </c>
      <c r="J153" s="1" t="s">
        <v>11</v>
      </c>
      <c r="K153" s="1" t="s">
        <v>23</v>
      </c>
      <c r="L153" s="1" t="s">
        <v>48</v>
      </c>
    </row>
    <row r="154" spans="1:12" x14ac:dyDescent="0.2">
      <c r="A154" s="1" t="s">
        <v>83</v>
      </c>
      <c r="B154" s="1" t="s">
        <v>19</v>
      </c>
      <c r="C154" s="1">
        <v>50</v>
      </c>
      <c r="D154" s="1">
        <v>55</v>
      </c>
      <c r="E154" s="1">
        <v>52</v>
      </c>
      <c r="F154" s="1">
        <v>11.787749619810457</v>
      </c>
      <c r="I154" s="1">
        <v>2757647</v>
      </c>
      <c r="J154" s="1" t="s">
        <v>11</v>
      </c>
      <c r="K154" s="1" t="s">
        <v>23</v>
      </c>
      <c r="L154" s="1" t="s">
        <v>48</v>
      </c>
    </row>
    <row r="155" spans="1:12" x14ac:dyDescent="0.2">
      <c r="A155" s="1" t="s">
        <v>84</v>
      </c>
      <c r="B155" s="1" t="s">
        <v>19</v>
      </c>
      <c r="C155" s="1">
        <v>55</v>
      </c>
      <c r="D155" s="1">
        <v>60</v>
      </c>
      <c r="E155" s="1">
        <v>57</v>
      </c>
      <c r="F155" s="1">
        <v>19.002173793349932</v>
      </c>
      <c r="I155" s="1">
        <v>2517854</v>
      </c>
      <c r="J155" s="1" t="s">
        <v>11</v>
      </c>
      <c r="K155" s="1" t="s">
        <v>23</v>
      </c>
      <c r="L155" s="1" t="s">
        <v>48</v>
      </c>
    </row>
    <row r="156" spans="1:12" x14ac:dyDescent="0.2">
      <c r="A156" s="1" t="s">
        <v>85</v>
      </c>
      <c r="B156" s="1" t="s">
        <v>19</v>
      </c>
      <c r="C156" s="1">
        <v>60</v>
      </c>
      <c r="D156" s="1">
        <v>65</v>
      </c>
      <c r="E156" s="1">
        <v>62</v>
      </c>
      <c r="F156" s="1">
        <v>28.976128422449534</v>
      </c>
      <c r="I156" s="1">
        <v>2078337</v>
      </c>
      <c r="J156" s="1" t="s">
        <v>11</v>
      </c>
      <c r="K156" s="1" t="s">
        <v>23</v>
      </c>
      <c r="L156" s="1" t="s">
        <v>48</v>
      </c>
    </row>
    <row r="157" spans="1:12" x14ac:dyDescent="0.2">
      <c r="A157" s="1" t="s">
        <v>86</v>
      </c>
      <c r="B157" s="1" t="s">
        <v>19</v>
      </c>
      <c r="C157" s="1">
        <v>65</v>
      </c>
      <c r="D157" s="1">
        <v>70</v>
      </c>
      <c r="E157" s="1">
        <v>67</v>
      </c>
      <c r="F157" s="1">
        <v>43.675336627069953</v>
      </c>
      <c r="I157" s="1">
        <v>1595444</v>
      </c>
      <c r="J157" s="1" t="s">
        <v>11</v>
      </c>
      <c r="K157" s="1" t="s">
        <v>23</v>
      </c>
      <c r="L157" s="1" t="s">
        <v>48</v>
      </c>
    </row>
    <row r="158" spans="1:12" x14ac:dyDescent="0.2">
      <c r="A158" s="1" t="s">
        <v>87</v>
      </c>
      <c r="B158" s="1" t="s">
        <v>19</v>
      </c>
      <c r="C158" s="1">
        <v>70</v>
      </c>
      <c r="D158" s="1">
        <v>75</v>
      </c>
      <c r="E158" s="1">
        <v>72</v>
      </c>
      <c r="F158" s="1">
        <v>56.720626396873485</v>
      </c>
      <c r="I158" s="1">
        <v>1134899</v>
      </c>
      <c r="J158" s="1" t="s">
        <v>11</v>
      </c>
      <c r="K158" s="1" t="s">
        <v>23</v>
      </c>
      <c r="L158" s="1" t="s">
        <v>48</v>
      </c>
    </row>
    <row r="159" spans="1:12" x14ac:dyDescent="0.2">
      <c r="A159" s="1" t="s">
        <v>88</v>
      </c>
      <c r="B159" s="1" t="s">
        <v>19</v>
      </c>
      <c r="C159" s="1">
        <v>75</v>
      </c>
      <c r="D159" s="1">
        <v>80</v>
      </c>
      <c r="E159" s="1">
        <v>77</v>
      </c>
      <c r="F159" s="1">
        <v>74.488034498966769</v>
      </c>
      <c r="I159" s="1">
        <v>736030</v>
      </c>
      <c r="J159" s="1" t="s">
        <v>11</v>
      </c>
      <c r="K159" s="1" t="s">
        <v>23</v>
      </c>
      <c r="L159" s="1" t="s">
        <v>48</v>
      </c>
    </row>
    <row r="160" spans="1:12" x14ac:dyDescent="0.2">
      <c r="A160" s="1" t="s">
        <v>89</v>
      </c>
      <c r="B160" s="1" t="s">
        <v>19</v>
      </c>
      <c r="C160" s="1">
        <v>80</v>
      </c>
      <c r="D160" s="1">
        <v>85</v>
      </c>
      <c r="E160" s="1">
        <v>82</v>
      </c>
      <c r="F160" s="1">
        <v>93.05298874295876</v>
      </c>
      <c r="I160" s="1">
        <v>440318</v>
      </c>
      <c r="J160" s="1" t="s">
        <v>11</v>
      </c>
      <c r="K160" s="1" t="s">
        <v>23</v>
      </c>
      <c r="L160" s="1" t="s">
        <v>48</v>
      </c>
    </row>
    <row r="161" spans="1:12" x14ac:dyDescent="0.2">
      <c r="A161" s="1" t="s">
        <v>90</v>
      </c>
      <c r="B161" s="1" t="s">
        <v>19</v>
      </c>
      <c r="C161" s="1">
        <v>85</v>
      </c>
      <c r="D161" s="1">
        <v>90</v>
      </c>
      <c r="E161" s="1">
        <v>87</v>
      </c>
      <c r="F161" s="1">
        <v>104.43359463799754</v>
      </c>
      <c r="I161" s="1">
        <v>288662</v>
      </c>
      <c r="J161" s="1" t="s">
        <v>11</v>
      </c>
      <c r="K161" s="1" t="s">
        <v>23</v>
      </c>
      <c r="L161" s="1" t="s">
        <v>48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2025-08-24T16:28:43Z</dcterms:modified>
</cp:coreProperties>
</file>